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kim/Documents/Traas_On_Product/AIrux8_opti_logic/analysis/"/>
    </mc:Choice>
  </mc:AlternateContent>
  <xr:revisionPtr revIDLastSave="0" documentId="13_ncr:1_{FA8CB5B5-04B6-B84B-BD87-B5021EF6D245}" xr6:coauthVersionLast="47" xr6:coauthVersionMax="47" xr10:uidLastSave="{00000000-0000-0000-0000-000000000000}"/>
  <bookViews>
    <workbookView xWindow="0" yWindow="800" windowWidth="36000" windowHeight="21260" activeTab="3" xr2:uid="{00000000-000D-0000-FFFF-FFFF00000000}"/>
  </bookViews>
  <sheets>
    <sheet name="MASTER" sheetId="1" r:id="rId1"/>
    <sheet name="制御マスタ_エリア1" sheetId="8" r:id="rId2"/>
    <sheet name="制御マスタ" sheetId="4" r:id="rId3"/>
    <sheet name="設備マスタ" sheetId="6" r:id="rId4"/>
    <sheet name="パラメータ" sheetId="7" r:id="rId5"/>
    <sheet name="original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70ogZkRa0khArbJsUTp93ej3fZG+em23f5fnXMkyO3w="/>
    </ext>
  </extLst>
</workbook>
</file>

<file path=xl/calcChain.xml><?xml version="1.0" encoding="utf-8"?>
<calcChain xmlns="http://schemas.openxmlformats.org/spreadsheetml/2006/main">
  <c r="D27" i="5" l="1"/>
  <c r="D26" i="5"/>
  <c r="D25" i="5"/>
  <c r="H24" i="5"/>
  <c r="D24" i="5"/>
  <c r="H23" i="5"/>
  <c r="D23" i="5"/>
  <c r="H22" i="5"/>
  <c r="D22" i="5"/>
  <c r="H21" i="5"/>
  <c r="D21" i="5"/>
  <c r="H20" i="5"/>
  <c r="D20" i="5"/>
  <c r="H19" i="5"/>
  <c r="D19" i="5"/>
  <c r="H18" i="5"/>
  <c r="D18" i="5"/>
  <c r="D17" i="5"/>
  <c r="H16" i="5"/>
  <c r="D16" i="5"/>
  <c r="H15" i="5"/>
  <c r="D15" i="5"/>
  <c r="H14" i="5"/>
  <c r="D14" i="5"/>
  <c r="H13" i="5"/>
  <c r="D13" i="5"/>
  <c r="H12" i="5"/>
  <c r="D12" i="5"/>
  <c r="H11" i="5"/>
  <c r="D11" i="5"/>
  <c r="H10" i="5"/>
  <c r="D10" i="5"/>
  <c r="H9" i="5"/>
  <c r="D9" i="5"/>
  <c r="H8" i="5"/>
  <c r="D8" i="5"/>
  <c r="H7" i="5"/>
  <c r="D7" i="5"/>
  <c r="H6" i="5"/>
  <c r="D6" i="5"/>
  <c r="H5" i="5"/>
  <c r="D5" i="5"/>
  <c r="H4" i="5"/>
  <c r="D4" i="5"/>
  <c r="H3" i="5"/>
  <c r="D3" i="5"/>
  <c r="H2" i="5"/>
  <c r="D2" i="5"/>
  <c r="E3" i="4"/>
  <c r="E7" i="4"/>
  <c r="E6" i="4"/>
  <c r="E5" i="4"/>
  <c r="E4" i="4"/>
  <c r="E2" i="4"/>
  <c r="D27" i="1"/>
  <c r="D26" i="1"/>
  <c r="D25" i="1"/>
  <c r="H24" i="1"/>
  <c r="D24" i="1"/>
  <c r="H23" i="1"/>
  <c r="D23" i="1"/>
  <c r="H22" i="1"/>
  <c r="D22" i="1"/>
  <c r="H21" i="1"/>
  <c r="D21" i="1"/>
  <c r="H20" i="1"/>
  <c r="D20" i="1"/>
  <c r="H19" i="1"/>
  <c r="D19" i="1"/>
  <c r="H18" i="1"/>
  <c r="D18" i="1"/>
  <c r="D17" i="1"/>
  <c r="H16" i="1"/>
  <c r="D16" i="1"/>
  <c r="H15" i="1"/>
  <c r="D15" i="1"/>
  <c r="H14" i="1"/>
  <c r="D14" i="1"/>
  <c r="H13" i="1"/>
  <c r="D13" i="1"/>
  <c r="H12" i="1"/>
  <c r="D12" i="1"/>
  <c r="H11" i="1"/>
  <c r="D11" i="1"/>
  <c r="H10" i="1"/>
  <c r="D10" i="1"/>
  <c r="H9" i="1"/>
  <c r="D9" i="1"/>
  <c r="H8" i="1"/>
  <c r="D8" i="1"/>
  <c r="H7" i="1"/>
  <c r="D7" i="1"/>
  <c r="H6" i="1"/>
  <c r="D6" i="1"/>
  <c r="H5" i="1"/>
  <c r="D5" i="1"/>
  <c r="H4" i="1"/>
  <c r="D4" i="1"/>
  <c r="H3" i="1"/>
  <c r="D3" i="1"/>
  <c r="H2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======
ID#AAABrdolROI
キムボンジュン    (2025-09-24 09:18:35)
始業時間はこの想定で問題ないか？</t>
        </r>
      </text>
    </comment>
    <comment ref="C1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ID#AAABrdolROM
キムボンジュン    (2025-09-24 09:19:01)
就業時間は概ねこの時間帯？
活動量でOffしているか？</t>
        </r>
      </text>
    </comment>
    <comment ref="P1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======
ID#AAABrdolROE
井上智樹    (2025-09-24 09:17:30)
室内温度 or 還温度</t>
        </r>
      </text>
    </comment>
    <comment ref="H6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ID#AAABrgGiNOg
井上智樹    (2025-09-25 02:06:06)
49-5は？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gJ4Lk7Zc2ipSEEdKYwXLkmFoE0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F1B33F08-EDCC-194D-9BD4-396F28983F58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ID#AAABrdolROI
</t>
        </r>
        <r>
          <rPr>
            <sz val="10"/>
            <color rgb="FF000000"/>
            <rFont val="Arial"/>
            <family val="2"/>
          </rPr>
          <t>キムボンジュン</t>
        </r>
        <r>
          <rPr>
            <sz val="10"/>
            <color rgb="FF000000"/>
            <rFont val="Arial"/>
            <family val="2"/>
          </rPr>
          <t xml:space="preserve">    (2025-09-24 09:18:35)
</t>
        </r>
        <r>
          <rPr>
            <sz val="10"/>
            <color rgb="FF000000"/>
            <rFont val="Arial"/>
            <family val="2"/>
          </rPr>
          <t>始業時間はこの想定で問題ないか？</t>
        </r>
      </text>
    </comment>
    <comment ref="C1" authorId="0" shapeId="0" xr:uid="{ECC90470-CA6C-7C41-8545-A9246D9CD13A}">
      <text>
        <r>
          <rPr>
            <sz val="10"/>
            <color rgb="FF000000"/>
            <rFont val="Arial"/>
            <family val="2"/>
            <scheme val="minor"/>
          </rPr>
          <t>======
ID#AAABrdolROM
キムボンジュン    (2025-09-24 09:19:01)
就業時間は概ねこの時間帯？
活動量でOffしているか？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684D29E6-8696-CB48-8B79-66E54D8DA446}">
      <text>
        <r>
          <rPr>
            <sz val="10"/>
            <color rgb="FF000000"/>
            <rFont val="Arial"/>
            <family val="2"/>
            <scheme val="minor"/>
          </rPr>
          <t>======
ID#AAABrdolROI
キムボンジュン    (2025-09-24 09:18:35)
始業時間はこの想定で問題ないか？</t>
        </r>
      </text>
    </comment>
    <comment ref="C1" authorId="0" shapeId="0" xr:uid="{5011C5DA-C977-014C-8381-43C713A07D39}">
      <text>
        <r>
          <rPr>
            <sz val="10"/>
            <color rgb="FF000000"/>
            <rFont val="Arial"/>
            <family val="2"/>
            <scheme val="minor"/>
          </rPr>
          <t>======
ID#AAABrdolROM
キムボンジュン    (2025-09-24 09:19:01)
就業時間は概ねこの時間帯？
活動量でOffしているか？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6" authorId="0" shapeId="0" xr:uid="{9AD218B1-84F4-204A-8F4D-353E359EC066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ID#AAABrgGiNOg
</t>
        </r>
        <r>
          <rPr>
            <sz val="10"/>
            <color rgb="FF000000"/>
            <rFont val="Arial"/>
            <family val="2"/>
          </rPr>
          <t>井上智樹</t>
        </r>
        <r>
          <rPr>
            <sz val="10"/>
            <color rgb="FF000000"/>
            <rFont val="Arial"/>
            <family val="2"/>
          </rPr>
          <t xml:space="preserve">    (2025-09-25 02:06:06)
</t>
        </r>
        <r>
          <rPr>
            <sz val="10"/>
            <color rgb="FF000000"/>
            <rFont val="Arial"/>
            <family val="2"/>
          </rPr>
          <t>49-5</t>
        </r>
        <r>
          <rPr>
            <sz val="10"/>
            <color rgb="FF000000"/>
            <rFont val="Arial"/>
            <family val="2"/>
          </rPr>
          <t>は？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5293F1C0-6A86-7146-A816-F6CAE2E498FB}">
      <text>
        <r>
          <rPr>
            <sz val="10"/>
            <color rgb="FF000000"/>
            <rFont val="Arial"/>
            <family val="2"/>
            <scheme val="minor"/>
          </rPr>
          <t>======
ID#AAABrdolROE
井上智樹    (2025-09-24 09:17:30)
室内温度 or 還温度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932EEA06-4DAC-B143-B8B2-1AE3121E5BEF}">
      <text>
        <r>
          <rPr>
            <sz val="10"/>
            <color rgb="FF000000"/>
            <rFont val="Arial"/>
            <family val="2"/>
            <scheme val="minor"/>
          </rPr>
          <t>======
ID#AAABrdolROI
キムボンジュン    (2025-09-24 09:18:35)
始業時間はこの想定で問題ないか？</t>
        </r>
      </text>
    </comment>
    <comment ref="C1" authorId="0" shapeId="0" xr:uid="{3AF675EE-AE3D-4141-B9FF-CB8AABE65F49}">
      <text>
        <r>
          <rPr>
            <sz val="10"/>
            <color rgb="FF000000"/>
            <rFont val="Arial"/>
            <family val="2"/>
            <scheme val="minor"/>
          </rPr>
          <t>======
ID#AAABrdolROM
キムボンジュン    (2025-09-24 09:19:01)
就業時間は概ねこの時間帯？
活動量でOffしているか？</t>
        </r>
      </text>
    </comment>
    <comment ref="P1" authorId="0" shapeId="0" xr:uid="{056B766B-3DC0-6246-9FE5-0D84D0DC5CA9}">
      <text>
        <r>
          <rPr>
            <sz val="10"/>
            <color rgb="FF000000"/>
            <rFont val="Arial"/>
            <family val="2"/>
            <scheme val="minor"/>
          </rPr>
          <t>======
ID#AAABrdolROE
井上智樹    (2025-09-24 09:17:30)
室内温度 or 還温度</t>
        </r>
      </text>
    </comment>
    <comment ref="H6" authorId="0" shapeId="0" xr:uid="{D9D91238-2E91-B846-AC42-EDAD4C2AAF51}">
      <text>
        <r>
          <rPr>
            <sz val="10"/>
            <color rgb="FF000000"/>
            <rFont val="Arial"/>
            <family val="2"/>
            <scheme val="minor"/>
          </rPr>
          <t>======
ID#AAABrgGiNOg
井上智樹    (2025-09-25 02:06:06)
49-5は？</t>
        </r>
      </text>
    </comment>
  </commentList>
</comments>
</file>

<file path=xl/sharedStrings.xml><?xml version="1.0" encoding="utf-8"?>
<sst xmlns="http://schemas.openxmlformats.org/spreadsheetml/2006/main" count="840" uniqueCount="111">
  <si>
    <t>制御区分</t>
  </si>
  <si>
    <t>始業時間</t>
  </si>
  <si>
    <t>就業時間</t>
  </si>
  <si>
    <t>目標室内温度</t>
  </si>
  <si>
    <t>設定温度下限</t>
  </si>
  <si>
    <t>設定温度上限</t>
  </si>
  <si>
    <t>風量候補</t>
  </si>
  <si>
    <t>PM Mesh ID</t>
  </si>
  <si>
    <t>PM Addr ID</t>
  </si>
  <si>
    <t>実績電力</t>
  </si>
  <si>
    <t>電力変数キー</t>
  </si>
  <si>
    <t>環境予測区分</t>
  </si>
  <si>
    <t>環境変数キー</t>
  </si>
  <si>
    <t>実績設定温度</t>
  </si>
  <si>
    <t>実績室内温度</t>
  </si>
  <si>
    <t>実績運転</t>
  </si>
  <si>
    <t>実績モード</t>
  </si>
  <si>
    <t>実績風量</t>
  </si>
  <si>
    <t>エリア1</t>
  </si>
  <si>
    <t>Low,Medium,High</t>
  </si>
  <si>
    <t>Phase A</t>
  </si>
  <si>
    <t>E-16北4</t>
  </si>
  <si>
    <t>A/C Name</t>
  </si>
  <si>
    <t>A/C Set Temperature</t>
  </si>
  <si>
    <t>Indoor Temp.</t>
  </si>
  <si>
    <t>A/C ON/OFF</t>
  </si>
  <si>
    <t>A/C Mode</t>
  </si>
  <si>
    <t>A/C Fan Speed</t>
  </si>
  <si>
    <t>E-15北3</t>
  </si>
  <si>
    <t>E-12南4</t>
  </si>
  <si>
    <t>E-11南3</t>
  </si>
  <si>
    <t>E-14北2</t>
  </si>
  <si>
    <t>E-13北1</t>
  </si>
  <si>
    <t>E-10南2</t>
  </si>
  <si>
    <t>E-9南1</t>
  </si>
  <si>
    <t>エリア2</t>
  </si>
  <si>
    <t>D-8北2</t>
  </si>
  <si>
    <t>Low,Medium</t>
  </si>
  <si>
    <t>D-6北1</t>
  </si>
  <si>
    <t>D-7南2</t>
  </si>
  <si>
    <t>D-5南1</t>
  </si>
  <si>
    <t>D-4北2</t>
  </si>
  <si>
    <t>D-2北1</t>
  </si>
  <si>
    <t>エリア3</t>
  </si>
  <si>
    <t>E-17</t>
  </si>
  <si>
    <t>-</t>
  </si>
  <si>
    <t>A-26</t>
  </si>
  <si>
    <t>エリア4</t>
  </si>
  <si>
    <t>F-18</t>
  </si>
  <si>
    <t>F-20</t>
  </si>
  <si>
    <t>F-19</t>
  </si>
  <si>
    <t>会議室</t>
  </si>
  <si>
    <t>不明</t>
  </si>
  <si>
    <t>G-24</t>
  </si>
  <si>
    <t>G-23</t>
  </si>
  <si>
    <t>休憩室</t>
  </si>
  <si>
    <t>Medium,High</t>
  </si>
  <si>
    <t>G-21</t>
  </si>
  <si>
    <t>G-22</t>
  </si>
  <si>
    <t>A-25</t>
  </si>
  <si>
    <t>D-3南2</t>
  </si>
  <si>
    <t>D-1南1</t>
  </si>
  <si>
    <t>電力予測区分</t>
    <phoneticPr fontId="10"/>
  </si>
  <si>
    <t>49-9</t>
  </si>
  <si>
    <t>{PM Mesh ID}-{PM Addr ID}</t>
  </si>
  <si>
    <t>スポット</t>
    <phoneticPr fontId="10"/>
  </si>
  <si>
    <t>室外機＝電力区分</t>
    <rPh sb="0" eb="3">
      <t xml:space="preserve">シツガイキ </t>
    </rPh>
    <phoneticPr fontId="10"/>
  </si>
  <si>
    <t>室内機＝環境区分</t>
    <rPh sb="0" eb="3">
      <t xml:space="preserve">シツナイキ </t>
    </rPh>
    <rPh sb="4" eb="6">
      <t xml:space="preserve">カンキョウヨソク </t>
    </rPh>
    <rPh sb="6" eb="8">
      <t xml:space="preserve">クブｎ </t>
    </rPh>
    <phoneticPr fontId="10"/>
  </si>
  <si>
    <t>49-1</t>
  </si>
  <si>
    <t>49-2</t>
  </si>
  <si>
    <t>49-3</t>
  </si>
  <si>
    <t>49-4</t>
  </si>
  <si>
    <t>49-6</t>
  </si>
  <si>
    <t>49-7</t>
  </si>
  <si>
    <t>49-8</t>
  </si>
  <si>
    <t>43-1</t>
  </si>
  <si>
    <t>43-2</t>
  </si>
  <si>
    <t>43-3</t>
  </si>
  <si>
    <t>43-4</t>
  </si>
  <si>
    <t>44-1</t>
  </si>
  <si>
    <t>44-3</t>
  </si>
  <si>
    <t>44-2</t>
  </si>
  <si>
    <t>44-4</t>
  </si>
  <si>
    <t>44-8</t>
  </si>
  <si>
    <t>44-6</t>
  </si>
  <si>
    <t>Key</t>
    <phoneticPr fontId="10"/>
  </si>
  <si>
    <t>Param</t>
    <phoneticPr fontId="10"/>
  </si>
  <si>
    <t>制御区分</t>
    <rPh sb="0" eb="2">
      <t xml:space="preserve">セイギョ </t>
    </rPh>
    <rPh sb="2" eb="4">
      <t xml:space="preserve">クブｎ </t>
    </rPh>
    <phoneticPr fontId="10"/>
  </si>
  <si>
    <t>環境予測区分</t>
    <phoneticPr fontId="10"/>
  </si>
  <si>
    <t>49-1,</t>
    <phoneticPr fontId="10"/>
  </si>
  <si>
    <t>月</t>
    <rPh sb="0" eb="1">
      <t xml:space="preserve">ツキ </t>
    </rPh>
    <phoneticPr fontId="10"/>
  </si>
  <si>
    <r>
      <t>1</t>
    </r>
    <r>
      <rPr>
        <sz val="10"/>
        <color rgb="FF000000"/>
        <rFont val="MS Gothic"/>
        <family val="2"/>
        <charset val="128"/>
      </rPr>
      <t>月</t>
    </r>
    <rPh sb="1" eb="2">
      <t xml:space="preserve">ガツ </t>
    </rPh>
    <phoneticPr fontId="10"/>
  </si>
  <si>
    <r>
      <t>2</t>
    </r>
    <r>
      <rPr>
        <sz val="10"/>
        <color theme="1"/>
        <rFont val="MS Gothic"/>
        <family val="2"/>
        <charset val="128"/>
      </rPr>
      <t>月</t>
    </r>
    <rPh sb="1" eb="2">
      <t xml:space="preserve">ガツ </t>
    </rPh>
    <phoneticPr fontId="10"/>
  </si>
  <si>
    <r>
      <t>3</t>
    </r>
    <r>
      <rPr>
        <sz val="10"/>
        <color rgb="FF000000"/>
        <rFont val="MS Gothic"/>
        <family val="2"/>
        <charset val="128"/>
      </rPr>
      <t>月</t>
    </r>
    <rPh sb="1" eb="2">
      <t xml:space="preserve">ガツ </t>
    </rPh>
    <phoneticPr fontId="10"/>
  </si>
  <si>
    <r>
      <t>4</t>
    </r>
    <r>
      <rPr>
        <sz val="10"/>
        <color rgb="FF000000"/>
        <rFont val="MS Gothic"/>
        <family val="2"/>
        <charset val="128"/>
      </rPr>
      <t>月</t>
    </r>
    <rPh sb="1" eb="2">
      <t xml:space="preserve">ガツ </t>
    </rPh>
    <phoneticPr fontId="10"/>
  </si>
  <si>
    <r>
      <t>5月</t>
    </r>
    <r>
      <rPr>
        <sz val="10"/>
        <color rgb="FF000000"/>
        <rFont val="MS Gothic"/>
        <family val="2"/>
        <charset val="128"/>
      </rPr>
      <t/>
    </r>
  </si>
  <si>
    <r>
      <t>6月</t>
    </r>
    <r>
      <rPr>
        <sz val="10"/>
        <color theme="1"/>
        <rFont val="MS Gothic"/>
        <family val="2"/>
        <charset val="128"/>
      </rPr>
      <t/>
    </r>
  </si>
  <si>
    <r>
      <t>7月</t>
    </r>
    <r>
      <rPr>
        <sz val="10"/>
        <color rgb="FF000000"/>
        <rFont val="MS Gothic"/>
        <family val="2"/>
        <charset val="128"/>
      </rPr>
      <t/>
    </r>
  </si>
  <si>
    <r>
      <t>8月</t>
    </r>
    <r>
      <rPr>
        <sz val="10"/>
        <color rgb="FF000000"/>
        <rFont val="MS Gothic"/>
        <family val="2"/>
        <charset val="128"/>
      </rPr>
      <t/>
    </r>
  </si>
  <si>
    <r>
      <t>10月</t>
    </r>
    <r>
      <rPr>
        <sz val="10"/>
        <color theme="1"/>
        <rFont val="MS Gothic"/>
        <family val="2"/>
        <charset val="128"/>
      </rPr>
      <t/>
    </r>
  </si>
  <si>
    <r>
      <t>11月</t>
    </r>
    <r>
      <rPr>
        <sz val="10"/>
        <color rgb="FF000000"/>
        <rFont val="MS Gothic"/>
        <family val="2"/>
        <charset val="128"/>
      </rPr>
      <t/>
    </r>
  </si>
  <si>
    <r>
      <t>12月</t>
    </r>
    <r>
      <rPr>
        <sz val="10"/>
        <color rgb="FF000000"/>
        <rFont val="MS Gothic"/>
        <family val="2"/>
        <charset val="128"/>
      </rPr>
      <t/>
    </r>
  </si>
  <si>
    <r>
      <t>9</t>
    </r>
    <r>
      <rPr>
        <sz val="10"/>
        <color rgb="FF000000"/>
        <rFont val="MS Gothic"/>
        <family val="2"/>
        <charset val="128"/>
      </rPr>
      <t>月</t>
    </r>
    <phoneticPr fontId="10"/>
  </si>
  <si>
    <t>目標室内温度下限</t>
    <rPh sb="6" eb="8">
      <t xml:space="preserve">カゲン </t>
    </rPh>
    <phoneticPr fontId="10"/>
  </si>
  <si>
    <t>目標室内温度上限</t>
    <rPh sb="6" eb="8">
      <t xml:space="preserve">ジョウゲン </t>
    </rPh>
    <phoneticPr fontId="10"/>
  </si>
  <si>
    <t>Area 1</t>
    <phoneticPr fontId="10"/>
  </si>
  <si>
    <t>Area 2</t>
    <phoneticPr fontId="10"/>
  </si>
  <si>
    <t>Area 3</t>
    <phoneticPr fontId="10"/>
  </si>
  <si>
    <t>Area 4</t>
    <phoneticPr fontId="10"/>
  </si>
  <si>
    <t>Meeting Room</t>
    <phoneticPr fontId="10"/>
  </si>
  <si>
    <t>Break Room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</si>
</sst>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>
    <font>
      <sz val="10"/>
      <color rgb="FF000000"/>
      <name val="Arial"/>
      <scheme val="minor"/>
    </font>
    <font>
      <b/>
      <sz val="10"/>
      <color rgb="FFFFFFFF"/>
      <name val="ＭＳ ゴシック"/>
      <family val="2"/>
      <charset val="128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Noto Sans JP"/>
    </font>
    <font>
      <sz val="10"/>
      <color rgb="FFFF0000"/>
      <name val="Arial"/>
      <family val="2"/>
    </font>
    <font>
      <sz val="10"/>
      <color rgb="FFFF0000"/>
      <name val="Noto Sans JP"/>
    </font>
    <font>
      <sz val="10"/>
      <color rgb="FFFFFFFF"/>
      <name val="Arial"/>
      <family val="2"/>
    </font>
    <font>
      <sz val="10"/>
      <color rgb="FFFFFFFF"/>
      <name val="Noto Sans JP"/>
    </font>
    <font>
      <sz val="6"/>
      <name val="Arial"/>
      <family val="3"/>
      <charset val="128"/>
      <scheme val="minor"/>
    </font>
    <font>
      <b/>
      <sz val="10"/>
      <color rgb="FFFFFFFF"/>
      <name val="MS Gothic"/>
      <family val="2"/>
      <charset val="128"/>
    </font>
    <font>
      <b/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MS Gothic"/>
      <family val="2"/>
      <charset val="128"/>
    </font>
    <font>
      <sz val="10"/>
      <color theme="1"/>
      <name val="MS Gothic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top"/>
    </xf>
    <xf numFmtId="20" fontId="4" fillId="3" borderId="1" xfId="0" applyNumberFormat="1" applyFont="1" applyFill="1" applyBorder="1" applyAlignment="1">
      <alignment horizontal="left" vertical="top"/>
    </xf>
    <xf numFmtId="176" fontId="4" fillId="3" borderId="1" xfId="0" applyNumberFormat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 wrapText="1"/>
    </xf>
    <xf numFmtId="20" fontId="4" fillId="4" borderId="1" xfId="0" applyNumberFormat="1" applyFont="1" applyFill="1" applyBorder="1" applyAlignment="1">
      <alignment horizontal="left" vertical="top"/>
    </xf>
    <xf numFmtId="176" fontId="4" fillId="4" borderId="1" xfId="0" applyNumberFormat="1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vertical="top"/>
    </xf>
    <xf numFmtId="0" fontId="4" fillId="5" borderId="2" xfId="0" applyFont="1" applyFill="1" applyBorder="1" applyAlignment="1">
      <alignment horizontal="left" vertical="top"/>
    </xf>
    <xf numFmtId="20" fontId="4" fillId="5" borderId="1" xfId="0" applyNumberFormat="1" applyFont="1" applyFill="1" applyBorder="1" applyAlignment="1">
      <alignment horizontal="left" vertical="top"/>
    </xf>
    <xf numFmtId="176" fontId="4" fillId="5" borderId="1" xfId="0" applyNumberFormat="1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vertical="top"/>
    </xf>
    <xf numFmtId="0" fontId="4" fillId="5" borderId="1" xfId="0" applyFont="1" applyFill="1" applyBorder="1" applyAlignment="1">
      <alignment horizontal="left" vertical="top"/>
    </xf>
    <xf numFmtId="0" fontId="4" fillId="6" borderId="2" xfId="0" applyFont="1" applyFill="1" applyBorder="1" applyAlignment="1">
      <alignment horizontal="left" vertical="top"/>
    </xf>
    <xf numFmtId="20" fontId="4" fillId="6" borderId="1" xfId="0" applyNumberFormat="1" applyFont="1" applyFill="1" applyBorder="1" applyAlignment="1">
      <alignment horizontal="left" vertical="top"/>
    </xf>
    <xf numFmtId="176" fontId="4" fillId="6" borderId="1" xfId="0" applyNumberFormat="1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vertical="top"/>
    </xf>
    <xf numFmtId="0" fontId="4" fillId="7" borderId="2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176" fontId="4" fillId="7" borderId="1" xfId="0" applyNumberFormat="1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top"/>
    </xf>
    <xf numFmtId="0" fontId="4" fillId="8" borderId="2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left" vertical="top"/>
    </xf>
    <xf numFmtId="176" fontId="4" fillId="8" borderId="1" xfId="0" applyNumberFormat="1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176" fontId="8" fillId="2" borderId="1" xfId="0" applyNumberFormat="1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top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 wrapText="1"/>
    </xf>
    <xf numFmtId="0" fontId="6" fillId="5" borderId="1" xfId="0" applyFont="1" applyFill="1" applyBorder="1" applyAlignment="1">
      <alignment horizontal="left" vertical="top" wrapText="1"/>
    </xf>
    <xf numFmtId="20" fontId="4" fillId="8" borderId="1" xfId="0" applyNumberFormat="1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/>
    </xf>
    <xf numFmtId="0" fontId="12" fillId="9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outlinePr summaryBelow="0" summaryRight="0"/>
  </sheetPr>
  <dimension ref="A1:AC70"/>
  <sheetViews>
    <sheetView workbookViewId="0">
      <pane ySplit="1" topLeftCell="A2" activePane="bottomLeft" state="frozen"/>
      <selection pane="bottomLeft" activeCell="A2" sqref="A2:A24"/>
    </sheetView>
  </sheetViews>
  <sheetFormatPr baseColWidth="10" defaultColWidth="12.6640625" defaultRowHeight="15" customHeight="1"/>
  <cols>
    <col min="1" max="1" width="10.5" customWidth="1"/>
    <col min="2" max="3" width="6.6640625" customWidth="1"/>
    <col min="4" max="6" width="9.6640625" customWidth="1"/>
    <col min="7" max="7" width="15.1640625" customWidth="1"/>
    <col min="8" max="8" width="12.1640625" customWidth="1"/>
    <col min="9" max="9" width="9" customWidth="1"/>
    <col min="10" max="10" width="13.1640625" customWidth="1"/>
    <col min="11" max="11" width="7.6640625" customWidth="1"/>
    <col min="12" max="12" width="23.83203125" bestFit="1" customWidth="1"/>
    <col min="13" max="13" width="12" bestFit="1" customWidth="1"/>
    <col min="14" max="14" width="10.5" customWidth="1"/>
    <col min="15" max="15" width="19" bestFit="1" customWidth="1"/>
    <col min="16" max="16" width="12.33203125" bestFit="1" customWidth="1"/>
    <col min="17" max="17" width="11.6640625" bestFit="1" customWidth="1"/>
    <col min="18" max="18" width="10.33203125" bestFit="1" customWidth="1"/>
    <col min="19" max="19" width="14.1640625" bestFit="1" customWidth="1"/>
    <col min="20" max="29" width="9.6640625" customWidth="1"/>
  </cols>
  <sheetData>
    <row r="1" spans="1:29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62</v>
      </c>
      <c r="I1" s="3" t="s">
        <v>7</v>
      </c>
      <c r="J1" s="3" t="s">
        <v>8</v>
      </c>
      <c r="K1" s="4" t="s">
        <v>9</v>
      </c>
      <c r="L1" s="4" t="s">
        <v>10</v>
      </c>
      <c r="M1" s="4" t="s">
        <v>88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4">
      <c r="A2" s="6" t="s">
        <v>105</v>
      </c>
      <c r="B2" s="7">
        <v>0.3125</v>
      </c>
      <c r="C2" s="7">
        <v>0.83333333333333337</v>
      </c>
      <c r="D2" s="8">
        <f t="shared" ref="D2:D27" si="0">(E2+F2)/2</f>
        <v>22.5</v>
      </c>
      <c r="E2" s="9">
        <v>19</v>
      </c>
      <c r="F2" s="9">
        <v>26</v>
      </c>
      <c r="G2" s="9" t="s">
        <v>19</v>
      </c>
      <c r="H2" s="9" t="str">
        <f t="shared" ref="H2:H24" si="1">I2&amp;"-"&amp;J2</f>
        <v>49-1</v>
      </c>
      <c r="I2" s="10">
        <v>49</v>
      </c>
      <c r="J2" s="10">
        <v>1</v>
      </c>
      <c r="K2" s="11" t="s">
        <v>20</v>
      </c>
      <c r="L2" s="11" t="s">
        <v>64</v>
      </c>
      <c r="M2" s="10" t="s">
        <v>21</v>
      </c>
      <c r="N2" s="10" t="s">
        <v>22</v>
      </c>
      <c r="O2" s="12" t="s">
        <v>23</v>
      </c>
      <c r="P2" s="12" t="s">
        <v>24</v>
      </c>
      <c r="Q2" s="11" t="s">
        <v>25</v>
      </c>
      <c r="R2" s="11" t="s">
        <v>26</v>
      </c>
      <c r="S2" s="11" t="s">
        <v>27</v>
      </c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29" ht="14">
      <c r="A3" s="6" t="s">
        <v>105</v>
      </c>
      <c r="B3" s="7">
        <v>0.3125</v>
      </c>
      <c r="C3" s="7">
        <v>0.83333333333333337</v>
      </c>
      <c r="D3" s="8">
        <f t="shared" si="0"/>
        <v>22.5</v>
      </c>
      <c r="E3" s="9">
        <v>19</v>
      </c>
      <c r="F3" s="9">
        <v>26</v>
      </c>
      <c r="G3" s="9" t="s">
        <v>19</v>
      </c>
      <c r="H3" s="9" t="str">
        <f t="shared" si="1"/>
        <v>49-2</v>
      </c>
      <c r="I3" s="10">
        <v>49</v>
      </c>
      <c r="J3" s="10">
        <v>2</v>
      </c>
      <c r="K3" s="11" t="s">
        <v>20</v>
      </c>
      <c r="L3" s="11" t="s">
        <v>64</v>
      </c>
      <c r="M3" s="10" t="s">
        <v>28</v>
      </c>
      <c r="N3" s="10" t="s">
        <v>22</v>
      </c>
      <c r="O3" s="12" t="s">
        <v>23</v>
      </c>
      <c r="P3" s="12" t="s">
        <v>24</v>
      </c>
      <c r="Q3" s="11" t="s">
        <v>25</v>
      </c>
      <c r="R3" s="11" t="s">
        <v>26</v>
      </c>
      <c r="S3" s="11" t="s">
        <v>27</v>
      </c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29" ht="14">
      <c r="A4" s="6" t="s">
        <v>105</v>
      </c>
      <c r="B4" s="7">
        <v>0.3125</v>
      </c>
      <c r="C4" s="7">
        <v>0.83333333333333337</v>
      </c>
      <c r="D4" s="8">
        <f t="shared" si="0"/>
        <v>22.5</v>
      </c>
      <c r="E4" s="9">
        <v>19</v>
      </c>
      <c r="F4" s="9">
        <v>26</v>
      </c>
      <c r="G4" s="9" t="s">
        <v>19</v>
      </c>
      <c r="H4" s="9" t="str">
        <f t="shared" si="1"/>
        <v>49-3</v>
      </c>
      <c r="I4" s="10">
        <v>49</v>
      </c>
      <c r="J4" s="10">
        <v>3</v>
      </c>
      <c r="K4" s="11" t="s">
        <v>20</v>
      </c>
      <c r="L4" s="11" t="s">
        <v>64</v>
      </c>
      <c r="M4" s="10" t="s">
        <v>29</v>
      </c>
      <c r="N4" s="10" t="s">
        <v>22</v>
      </c>
      <c r="O4" s="12" t="s">
        <v>23</v>
      </c>
      <c r="P4" s="12" t="s">
        <v>24</v>
      </c>
      <c r="Q4" s="11" t="s">
        <v>25</v>
      </c>
      <c r="R4" s="11" t="s">
        <v>26</v>
      </c>
      <c r="S4" s="11" t="s">
        <v>27</v>
      </c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spans="1:29" ht="14">
      <c r="A5" s="6" t="s">
        <v>105</v>
      </c>
      <c r="B5" s="7">
        <v>0.3125</v>
      </c>
      <c r="C5" s="7">
        <v>0.83333333333333337</v>
      </c>
      <c r="D5" s="8">
        <f t="shared" si="0"/>
        <v>22.5</v>
      </c>
      <c r="E5" s="9">
        <v>19</v>
      </c>
      <c r="F5" s="9">
        <v>26</v>
      </c>
      <c r="G5" s="9" t="s">
        <v>19</v>
      </c>
      <c r="H5" s="9" t="str">
        <f t="shared" si="1"/>
        <v>49-4</v>
      </c>
      <c r="I5" s="10">
        <v>49</v>
      </c>
      <c r="J5" s="10">
        <v>4</v>
      </c>
      <c r="K5" s="11" t="s">
        <v>20</v>
      </c>
      <c r="L5" s="11" t="s">
        <v>64</v>
      </c>
      <c r="M5" s="10" t="s">
        <v>30</v>
      </c>
      <c r="N5" s="10" t="s">
        <v>22</v>
      </c>
      <c r="O5" s="12" t="s">
        <v>23</v>
      </c>
      <c r="P5" s="12" t="s">
        <v>24</v>
      </c>
      <c r="Q5" s="11" t="s">
        <v>25</v>
      </c>
      <c r="R5" s="11" t="s">
        <v>26</v>
      </c>
      <c r="S5" s="11" t="s">
        <v>27</v>
      </c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spans="1:29" ht="14">
      <c r="A6" s="6" t="s">
        <v>105</v>
      </c>
      <c r="B6" s="7">
        <v>0.3125</v>
      </c>
      <c r="C6" s="7">
        <v>0.83333333333333337</v>
      </c>
      <c r="D6" s="8">
        <f t="shared" si="0"/>
        <v>22.5</v>
      </c>
      <c r="E6" s="9">
        <v>19</v>
      </c>
      <c r="F6" s="9">
        <v>26</v>
      </c>
      <c r="G6" s="9" t="s">
        <v>19</v>
      </c>
      <c r="H6" s="13" t="str">
        <f t="shared" si="1"/>
        <v>49-4</v>
      </c>
      <c r="I6" s="14">
        <v>49</v>
      </c>
      <c r="J6" s="14">
        <v>4</v>
      </c>
      <c r="K6" s="11" t="s">
        <v>20</v>
      </c>
      <c r="L6" s="11" t="s">
        <v>64</v>
      </c>
      <c r="M6" s="10" t="s">
        <v>31</v>
      </c>
      <c r="N6" s="10" t="s">
        <v>22</v>
      </c>
      <c r="O6" s="12" t="s">
        <v>23</v>
      </c>
      <c r="P6" s="12" t="s">
        <v>24</v>
      </c>
      <c r="Q6" s="11" t="s">
        <v>25</v>
      </c>
      <c r="R6" s="11" t="s">
        <v>26</v>
      </c>
      <c r="S6" s="11" t="s">
        <v>27</v>
      </c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29" ht="14">
      <c r="A7" s="6" t="s">
        <v>105</v>
      </c>
      <c r="B7" s="7">
        <v>0.3125</v>
      </c>
      <c r="C7" s="7">
        <v>0.83333333333333337</v>
      </c>
      <c r="D7" s="8">
        <f t="shared" si="0"/>
        <v>22.5</v>
      </c>
      <c r="E7" s="9">
        <v>19</v>
      </c>
      <c r="F7" s="9">
        <v>26</v>
      </c>
      <c r="G7" s="9" t="s">
        <v>19</v>
      </c>
      <c r="H7" s="9" t="str">
        <f t="shared" si="1"/>
        <v>49-6</v>
      </c>
      <c r="I7" s="10">
        <v>49</v>
      </c>
      <c r="J7" s="10">
        <v>6</v>
      </c>
      <c r="K7" s="11" t="s">
        <v>20</v>
      </c>
      <c r="L7" s="11" t="s">
        <v>64</v>
      </c>
      <c r="M7" s="10" t="s">
        <v>32</v>
      </c>
      <c r="N7" s="10" t="s">
        <v>22</v>
      </c>
      <c r="O7" s="12" t="s">
        <v>23</v>
      </c>
      <c r="P7" s="12" t="s">
        <v>24</v>
      </c>
      <c r="Q7" s="11" t="s">
        <v>25</v>
      </c>
      <c r="R7" s="11" t="s">
        <v>26</v>
      </c>
      <c r="S7" s="11" t="s">
        <v>27</v>
      </c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 ht="14">
      <c r="A8" s="6" t="s">
        <v>105</v>
      </c>
      <c r="B8" s="7">
        <v>0.3125</v>
      </c>
      <c r="C8" s="7">
        <v>0.83333333333333337</v>
      </c>
      <c r="D8" s="8">
        <f t="shared" si="0"/>
        <v>22.5</v>
      </c>
      <c r="E8" s="9">
        <v>19</v>
      </c>
      <c r="F8" s="9">
        <v>26</v>
      </c>
      <c r="G8" s="9" t="s">
        <v>19</v>
      </c>
      <c r="H8" s="9" t="str">
        <f t="shared" si="1"/>
        <v>49-7</v>
      </c>
      <c r="I8" s="10">
        <v>49</v>
      </c>
      <c r="J8" s="10">
        <v>7</v>
      </c>
      <c r="K8" s="11" t="s">
        <v>20</v>
      </c>
      <c r="L8" s="11" t="s">
        <v>64</v>
      </c>
      <c r="M8" s="10" t="s">
        <v>33</v>
      </c>
      <c r="N8" s="10" t="s">
        <v>22</v>
      </c>
      <c r="O8" s="12" t="s">
        <v>23</v>
      </c>
      <c r="P8" s="12" t="s">
        <v>24</v>
      </c>
      <c r="Q8" s="11" t="s">
        <v>25</v>
      </c>
      <c r="R8" s="11" t="s">
        <v>26</v>
      </c>
      <c r="S8" s="11" t="s">
        <v>27</v>
      </c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ht="14">
      <c r="A9" s="6" t="s">
        <v>105</v>
      </c>
      <c r="B9" s="7">
        <v>0.3125</v>
      </c>
      <c r="C9" s="7">
        <v>0.83333333333333337</v>
      </c>
      <c r="D9" s="8">
        <f t="shared" si="0"/>
        <v>22.5</v>
      </c>
      <c r="E9" s="9">
        <v>19</v>
      </c>
      <c r="F9" s="9">
        <v>26</v>
      </c>
      <c r="G9" s="9" t="s">
        <v>19</v>
      </c>
      <c r="H9" s="9" t="str">
        <f t="shared" si="1"/>
        <v>49-8</v>
      </c>
      <c r="I9" s="10">
        <v>49</v>
      </c>
      <c r="J9" s="10">
        <v>8</v>
      </c>
      <c r="K9" s="11" t="s">
        <v>20</v>
      </c>
      <c r="L9" s="11" t="s">
        <v>64</v>
      </c>
      <c r="M9" s="10" t="s">
        <v>34</v>
      </c>
      <c r="N9" s="10" t="s">
        <v>22</v>
      </c>
      <c r="O9" s="12" t="s">
        <v>23</v>
      </c>
      <c r="P9" s="12" t="s">
        <v>24</v>
      </c>
      <c r="Q9" s="11" t="s">
        <v>25</v>
      </c>
      <c r="R9" s="11" t="s">
        <v>26</v>
      </c>
      <c r="S9" s="11" t="s">
        <v>27</v>
      </c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ht="14">
      <c r="A10" s="15" t="s">
        <v>106</v>
      </c>
      <c r="B10" s="16">
        <v>0.29166666666666669</v>
      </c>
      <c r="C10" s="16">
        <v>0.83333333333333337</v>
      </c>
      <c r="D10" s="17">
        <f t="shared" si="0"/>
        <v>22.5</v>
      </c>
      <c r="E10" s="18">
        <v>19</v>
      </c>
      <c r="F10" s="18">
        <v>26</v>
      </c>
      <c r="G10" s="18" t="s">
        <v>19</v>
      </c>
      <c r="H10" s="18" t="str">
        <f t="shared" si="1"/>
        <v>43-1</v>
      </c>
      <c r="I10" s="19">
        <v>43</v>
      </c>
      <c r="J10" s="19">
        <v>1</v>
      </c>
      <c r="K10" s="20" t="s">
        <v>20</v>
      </c>
      <c r="L10" s="20" t="s">
        <v>64</v>
      </c>
      <c r="M10" s="19" t="s">
        <v>36</v>
      </c>
      <c r="N10" s="19" t="s">
        <v>22</v>
      </c>
      <c r="O10" s="21" t="s">
        <v>23</v>
      </c>
      <c r="P10" s="21" t="s">
        <v>24</v>
      </c>
      <c r="Q10" s="20" t="s">
        <v>25</v>
      </c>
      <c r="R10" s="20" t="s">
        <v>26</v>
      </c>
      <c r="S10" s="20" t="s">
        <v>27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29" ht="14">
      <c r="A11" s="15" t="s">
        <v>106</v>
      </c>
      <c r="B11" s="16">
        <v>0.29166666666666669</v>
      </c>
      <c r="C11" s="16">
        <v>0.83333333333333337</v>
      </c>
      <c r="D11" s="17">
        <f t="shared" si="0"/>
        <v>22.5</v>
      </c>
      <c r="E11" s="18">
        <v>19</v>
      </c>
      <c r="F11" s="18">
        <v>26</v>
      </c>
      <c r="G11" s="18" t="s">
        <v>37</v>
      </c>
      <c r="H11" s="18" t="str">
        <f t="shared" si="1"/>
        <v>43-2</v>
      </c>
      <c r="I11" s="19">
        <v>43</v>
      </c>
      <c r="J11" s="19">
        <v>2</v>
      </c>
      <c r="K11" s="20" t="s">
        <v>20</v>
      </c>
      <c r="L11" s="20" t="s">
        <v>64</v>
      </c>
      <c r="M11" s="19" t="s">
        <v>38</v>
      </c>
      <c r="N11" s="19" t="s">
        <v>22</v>
      </c>
      <c r="O11" s="21" t="s">
        <v>23</v>
      </c>
      <c r="P11" s="21" t="s">
        <v>24</v>
      </c>
      <c r="Q11" s="20" t="s">
        <v>25</v>
      </c>
      <c r="R11" s="20" t="s">
        <v>26</v>
      </c>
      <c r="S11" s="20" t="s">
        <v>27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spans="1:29" ht="14">
      <c r="A12" s="15" t="s">
        <v>106</v>
      </c>
      <c r="B12" s="16">
        <v>0.29166666666666669</v>
      </c>
      <c r="C12" s="16">
        <v>0.83333333333333337</v>
      </c>
      <c r="D12" s="17">
        <f t="shared" si="0"/>
        <v>22.5</v>
      </c>
      <c r="E12" s="18">
        <v>19</v>
      </c>
      <c r="F12" s="18">
        <v>26</v>
      </c>
      <c r="G12" s="18" t="s">
        <v>19</v>
      </c>
      <c r="H12" s="18" t="str">
        <f t="shared" si="1"/>
        <v>43-3</v>
      </c>
      <c r="I12" s="19">
        <v>43</v>
      </c>
      <c r="J12" s="19">
        <v>3</v>
      </c>
      <c r="K12" s="20" t="s">
        <v>20</v>
      </c>
      <c r="L12" s="20" t="s">
        <v>64</v>
      </c>
      <c r="M12" s="19" t="s">
        <v>39</v>
      </c>
      <c r="N12" s="19" t="s">
        <v>22</v>
      </c>
      <c r="O12" s="21" t="s">
        <v>23</v>
      </c>
      <c r="P12" s="21" t="s">
        <v>24</v>
      </c>
      <c r="Q12" s="20" t="s">
        <v>25</v>
      </c>
      <c r="R12" s="20" t="s">
        <v>26</v>
      </c>
      <c r="S12" s="20" t="s">
        <v>27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29" ht="14">
      <c r="A13" s="15" t="s">
        <v>106</v>
      </c>
      <c r="B13" s="16">
        <v>0.29166666666666669</v>
      </c>
      <c r="C13" s="16">
        <v>0.83333333333333337</v>
      </c>
      <c r="D13" s="17">
        <f t="shared" si="0"/>
        <v>23</v>
      </c>
      <c r="E13" s="18">
        <v>20</v>
      </c>
      <c r="F13" s="18">
        <v>26</v>
      </c>
      <c r="G13" s="18" t="s">
        <v>37</v>
      </c>
      <c r="H13" s="18" t="str">
        <f t="shared" si="1"/>
        <v>43-4</v>
      </c>
      <c r="I13" s="19">
        <v>43</v>
      </c>
      <c r="J13" s="19">
        <v>4</v>
      </c>
      <c r="K13" s="20" t="s">
        <v>20</v>
      </c>
      <c r="L13" s="20" t="s">
        <v>64</v>
      </c>
      <c r="M13" s="19" t="s">
        <v>40</v>
      </c>
      <c r="N13" s="19" t="s">
        <v>22</v>
      </c>
      <c r="O13" s="21" t="s">
        <v>23</v>
      </c>
      <c r="P13" s="21" t="s">
        <v>24</v>
      </c>
      <c r="Q13" s="20" t="s">
        <v>25</v>
      </c>
      <c r="R13" s="20" t="s">
        <v>26</v>
      </c>
      <c r="S13" s="20" t="s">
        <v>27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29" ht="14">
      <c r="A14" s="15" t="s">
        <v>106</v>
      </c>
      <c r="B14" s="16">
        <v>0.29166666666666669</v>
      </c>
      <c r="C14" s="16">
        <v>0.83333333333333337</v>
      </c>
      <c r="D14" s="17">
        <f t="shared" si="0"/>
        <v>23</v>
      </c>
      <c r="E14" s="18">
        <v>20</v>
      </c>
      <c r="F14" s="18">
        <v>26</v>
      </c>
      <c r="G14" s="18" t="s">
        <v>37</v>
      </c>
      <c r="H14" s="18" t="str">
        <f t="shared" si="1"/>
        <v>44-1</v>
      </c>
      <c r="I14" s="19">
        <v>44</v>
      </c>
      <c r="J14" s="19">
        <v>1</v>
      </c>
      <c r="K14" s="20" t="s">
        <v>20</v>
      </c>
      <c r="L14" s="20" t="s">
        <v>64</v>
      </c>
      <c r="M14" s="19" t="s">
        <v>41</v>
      </c>
      <c r="N14" s="19" t="s">
        <v>22</v>
      </c>
      <c r="O14" s="21" t="s">
        <v>23</v>
      </c>
      <c r="P14" s="21" t="s">
        <v>24</v>
      </c>
      <c r="Q14" s="20" t="s">
        <v>25</v>
      </c>
      <c r="R14" s="20" t="s">
        <v>26</v>
      </c>
      <c r="S14" s="20" t="s">
        <v>27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29" ht="14">
      <c r="A15" s="15" t="s">
        <v>106</v>
      </c>
      <c r="B15" s="16">
        <v>0.29166666666666669</v>
      </c>
      <c r="C15" s="16">
        <v>0.83333333333333337</v>
      </c>
      <c r="D15" s="17">
        <f t="shared" si="0"/>
        <v>23</v>
      </c>
      <c r="E15" s="18">
        <v>20</v>
      </c>
      <c r="F15" s="18">
        <v>26</v>
      </c>
      <c r="G15" s="18" t="s">
        <v>37</v>
      </c>
      <c r="H15" s="18" t="str">
        <f t="shared" si="1"/>
        <v>44-3</v>
      </c>
      <c r="I15" s="19">
        <v>44</v>
      </c>
      <c r="J15" s="19">
        <v>3</v>
      </c>
      <c r="K15" s="20" t="s">
        <v>20</v>
      </c>
      <c r="L15" s="20" t="s">
        <v>64</v>
      </c>
      <c r="M15" s="19" t="s">
        <v>42</v>
      </c>
      <c r="N15" s="19" t="s">
        <v>22</v>
      </c>
      <c r="O15" s="21" t="s">
        <v>23</v>
      </c>
      <c r="P15" s="21" t="s">
        <v>24</v>
      </c>
      <c r="Q15" s="20" t="s">
        <v>25</v>
      </c>
      <c r="R15" s="20" t="s">
        <v>26</v>
      </c>
      <c r="S15" s="20" t="s">
        <v>27</v>
      </c>
      <c r="T15" s="22"/>
      <c r="U15" s="22"/>
      <c r="V15" s="22"/>
      <c r="W15" s="22"/>
      <c r="X15" s="22"/>
      <c r="Y15" s="22"/>
      <c r="Z15" s="21"/>
      <c r="AA15" s="21"/>
      <c r="AB15" s="21"/>
      <c r="AC15" s="21"/>
    </row>
    <row r="16" spans="1:29" ht="14">
      <c r="A16" s="23" t="s">
        <v>107</v>
      </c>
      <c r="B16" s="24">
        <v>0.3125</v>
      </c>
      <c r="C16" s="24">
        <v>0.83333333333333337</v>
      </c>
      <c r="D16" s="25">
        <f t="shared" si="0"/>
        <v>23.5</v>
      </c>
      <c r="E16" s="26">
        <v>20</v>
      </c>
      <c r="F16" s="26">
        <v>27</v>
      </c>
      <c r="G16" s="26" t="s">
        <v>19</v>
      </c>
      <c r="H16" s="26" t="str">
        <f t="shared" si="1"/>
        <v>49-9</v>
      </c>
      <c r="I16" s="27">
        <v>49</v>
      </c>
      <c r="J16" s="27">
        <v>9</v>
      </c>
      <c r="K16" s="28" t="s">
        <v>20</v>
      </c>
      <c r="L16" s="28" t="s">
        <v>64</v>
      </c>
      <c r="M16" s="27" t="s">
        <v>44</v>
      </c>
      <c r="N16" s="27" t="s">
        <v>22</v>
      </c>
      <c r="O16" s="29" t="s">
        <v>23</v>
      </c>
      <c r="P16" s="29" t="s">
        <v>24</v>
      </c>
      <c r="Q16" s="28" t="s">
        <v>25</v>
      </c>
      <c r="R16" s="28" t="s">
        <v>26</v>
      </c>
      <c r="S16" s="28" t="s">
        <v>27</v>
      </c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spans="1:29" ht="14">
      <c r="A17" s="23" t="s">
        <v>107</v>
      </c>
      <c r="B17" s="24">
        <v>0.3125</v>
      </c>
      <c r="C17" s="24">
        <v>0.83333333333333337</v>
      </c>
      <c r="D17" s="25">
        <f t="shared" si="0"/>
        <v>23</v>
      </c>
      <c r="E17" s="26">
        <v>20</v>
      </c>
      <c r="F17" s="26">
        <v>26</v>
      </c>
      <c r="G17" s="26" t="s">
        <v>19</v>
      </c>
      <c r="H17" s="62" t="s">
        <v>63</v>
      </c>
      <c r="I17" s="31" t="s">
        <v>45</v>
      </c>
      <c r="J17" s="31" t="s">
        <v>45</v>
      </c>
      <c r="K17" s="28" t="s">
        <v>20</v>
      </c>
      <c r="L17" s="28" t="s">
        <v>64</v>
      </c>
      <c r="M17" s="27" t="s">
        <v>46</v>
      </c>
      <c r="N17" s="27" t="s">
        <v>22</v>
      </c>
      <c r="O17" s="29" t="s">
        <v>23</v>
      </c>
      <c r="P17" s="28" t="s">
        <v>24</v>
      </c>
      <c r="Q17" s="28" t="s">
        <v>25</v>
      </c>
      <c r="R17" s="28" t="s">
        <v>26</v>
      </c>
      <c r="S17" s="28" t="s">
        <v>27</v>
      </c>
      <c r="T17" s="30"/>
      <c r="U17" s="30"/>
      <c r="V17" s="30"/>
      <c r="W17" s="30"/>
      <c r="X17" s="30"/>
      <c r="Y17" s="30"/>
      <c r="Z17" s="29"/>
      <c r="AA17" s="29"/>
      <c r="AB17" s="29"/>
      <c r="AC17" s="29"/>
    </row>
    <row r="18" spans="1:29" ht="14">
      <c r="A18" s="32" t="s">
        <v>108</v>
      </c>
      <c r="B18" s="33">
        <v>0.27083333333333331</v>
      </c>
      <c r="C18" s="33">
        <v>0.83333333333333337</v>
      </c>
      <c r="D18" s="34">
        <f t="shared" si="0"/>
        <v>24</v>
      </c>
      <c r="E18" s="35">
        <v>22</v>
      </c>
      <c r="F18" s="35">
        <v>26</v>
      </c>
      <c r="G18" s="35" t="s">
        <v>19</v>
      </c>
      <c r="H18" s="35" t="str">
        <f t="shared" si="1"/>
        <v>44-2</v>
      </c>
      <c r="I18" s="36">
        <v>44</v>
      </c>
      <c r="J18" s="36">
        <v>2</v>
      </c>
      <c r="K18" s="37" t="s">
        <v>20</v>
      </c>
      <c r="L18" s="37" t="s">
        <v>64</v>
      </c>
      <c r="M18" s="36" t="s">
        <v>48</v>
      </c>
      <c r="N18" s="36" t="s">
        <v>22</v>
      </c>
      <c r="O18" s="38" t="s">
        <v>23</v>
      </c>
      <c r="P18" s="38" t="s">
        <v>24</v>
      </c>
      <c r="Q18" s="37" t="s">
        <v>25</v>
      </c>
      <c r="R18" s="37" t="s">
        <v>26</v>
      </c>
      <c r="S18" s="37" t="s">
        <v>27</v>
      </c>
      <c r="T18" s="39"/>
      <c r="U18" s="39"/>
      <c r="V18" s="39"/>
      <c r="W18" s="39"/>
      <c r="X18" s="39"/>
      <c r="Y18" s="39"/>
      <c r="Z18" s="38"/>
      <c r="AA18" s="38"/>
      <c r="AB18" s="38"/>
      <c r="AC18" s="38"/>
    </row>
    <row r="19" spans="1:29" ht="14">
      <c r="A19" s="32" t="s">
        <v>108</v>
      </c>
      <c r="B19" s="33">
        <v>0.27083333333333331</v>
      </c>
      <c r="C19" s="33">
        <v>0.83333333333333337</v>
      </c>
      <c r="D19" s="34">
        <f t="shared" si="0"/>
        <v>24</v>
      </c>
      <c r="E19" s="35">
        <v>22</v>
      </c>
      <c r="F19" s="35">
        <v>26</v>
      </c>
      <c r="G19" s="35" t="s">
        <v>19</v>
      </c>
      <c r="H19" s="35" t="str">
        <f t="shared" si="1"/>
        <v>44-4</v>
      </c>
      <c r="I19" s="36">
        <v>44</v>
      </c>
      <c r="J19" s="36">
        <v>4</v>
      </c>
      <c r="K19" s="37" t="s">
        <v>20</v>
      </c>
      <c r="L19" s="37" t="s">
        <v>64</v>
      </c>
      <c r="M19" s="36" t="s">
        <v>49</v>
      </c>
      <c r="N19" s="36" t="s">
        <v>22</v>
      </c>
      <c r="O19" s="38" t="s">
        <v>23</v>
      </c>
      <c r="P19" s="38" t="s">
        <v>24</v>
      </c>
      <c r="Q19" s="37" t="s">
        <v>25</v>
      </c>
      <c r="R19" s="37" t="s">
        <v>26</v>
      </c>
      <c r="S19" s="37" t="s">
        <v>27</v>
      </c>
      <c r="T19" s="39"/>
      <c r="U19" s="39"/>
      <c r="V19" s="39"/>
      <c r="W19" s="39"/>
      <c r="X19" s="39"/>
      <c r="Y19" s="39"/>
      <c r="Z19" s="38"/>
      <c r="AA19" s="38"/>
      <c r="AB19" s="38"/>
      <c r="AC19" s="38"/>
    </row>
    <row r="20" spans="1:29" ht="14">
      <c r="A20" s="32" t="s">
        <v>108</v>
      </c>
      <c r="B20" s="33">
        <v>0.27083333333333331</v>
      </c>
      <c r="C20" s="33">
        <v>0.83333333333333337</v>
      </c>
      <c r="D20" s="34">
        <f t="shared" si="0"/>
        <v>24.5</v>
      </c>
      <c r="E20" s="35">
        <v>23</v>
      </c>
      <c r="F20" s="35">
        <v>26</v>
      </c>
      <c r="G20" s="35" t="s">
        <v>19</v>
      </c>
      <c r="H20" s="35" t="str">
        <f t="shared" si="1"/>
        <v>44-4</v>
      </c>
      <c r="I20" s="36">
        <v>44</v>
      </c>
      <c r="J20" s="36">
        <v>4</v>
      </c>
      <c r="K20" s="37" t="s">
        <v>20</v>
      </c>
      <c r="L20" s="37" t="s">
        <v>64</v>
      </c>
      <c r="M20" s="36" t="s">
        <v>50</v>
      </c>
      <c r="N20" s="36" t="s">
        <v>22</v>
      </c>
      <c r="O20" s="38" t="s">
        <v>23</v>
      </c>
      <c r="P20" s="38" t="s">
        <v>24</v>
      </c>
      <c r="Q20" s="37" t="s">
        <v>25</v>
      </c>
      <c r="R20" s="37" t="s">
        <v>26</v>
      </c>
      <c r="S20" s="37" t="s">
        <v>27</v>
      </c>
      <c r="T20" s="39"/>
      <c r="U20" s="39"/>
      <c r="V20" s="39"/>
      <c r="W20" s="39"/>
      <c r="X20" s="39"/>
      <c r="Y20" s="39"/>
      <c r="Z20" s="38"/>
      <c r="AA20" s="38"/>
      <c r="AB20" s="38"/>
      <c r="AC20" s="38"/>
    </row>
    <row r="21" spans="1:29" ht="14">
      <c r="A21" s="40" t="s">
        <v>109</v>
      </c>
      <c r="B21" s="41" t="s">
        <v>52</v>
      </c>
      <c r="C21" s="41" t="s">
        <v>52</v>
      </c>
      <c r="D21" s="42">
        <f t="shared" si="0"/>
        <v>23.5</v>
      </c>
      <c r="E21" s="43">
        <v>21</v>
      </c>
      <c r="F21" s="43">
        <v>26</v>
      </c>
      <c r="G21" s="43" t="s">
        <v>19</v>
      </c>
      <c r="H21" s="43" t="str">
        <f t="shared" si="1"/>
        <v>44-8</v>
      </c>
      <c r="I21" s="44">
        <v>44</v>
      </c>
      <c r="J21" s="44">
        <v>8</v>
      </c>
      <c r="K21" s="45" t="s">
        <v>20</v>
      </c>
      <c r="L21" s="45" t="s">
        <v>64</v>
      </c>
      <c r="M21" s="44" t="s">
        <v>53</v>
      </c>
      <c r="N21" s="44" t="s">
        <v>22</v>
      </c>
      <c r="O21" s="46" t="s">
        <v>23</v>
      </c>
      <c r="P21" s="46" t="s">
        <v>24</v>
      </c>
      <c r="Q21" s="45" t="s">
        <v>25</v>
      </c>
      <c r="R21" s="45" t="s">
        <v>26</v>
      </c>
      <c r="S21" s="45" t="s">
        <v>27</v>
      </c>
      <c r="T21" s="46"/>
      <c r="U21" s="46"/>
      <c r="V21" s="46"/>
      <c r="W21" s="46"/>
      <c r="X21" s="46"/>
      <c r="Y21" s="46"/>
      <c r="Z21" s="46"/>
      <c r="AA21" s="46"/>
      <c r="AB21" s="46"/>
      <c r="AC21" s="46"/>
    </row>
    <row r="22" spans="1:29" ht="14">
      <c r="A22" s="40" t="s">
        <v>109</v>
      </c>
      <c r="B22" s="41" t="s">
        <v>52</v>
      </c>
      <c r="C22" s="41" t="s">
        <v>52</v>
      </c>
      <c r="D22" s="42">
        <f t="shared" si="0"/>
        <v>23</v>
      </c>
      <c r="E22" s="43">
        <v>20</v>
      </c>
      <c r="F22" s="43">
        <v>26</v>
      </c>
      <c r="G22" s="43" t="s">
        <v>19</v>
      </c>
      <c r="H22" s="43" t="str">
        <f t="shared" si="1"/>
        <v>44-8</v>
      </c>
      <c r="I22" s="44">
        <v>44</v>
      </c>
      <c r="J22" s="44">
        <v>8</v>
      </c>
      <c r="K22" s="45" t="s">
        <v>20</v>
      </c>
      <c r="L22" s="45" t="s">
        <v>64</v>
      </c>
      <c r="M22" s="44" t="s">
        <v>54</v>
      </c>
      <c r="N22" s="44" t="s">
        <v>22</v>
      </c>
      <c r="O22" s="46" t="s">
        <v>23</v>
      </c>
      <c r="P22" s="46" t="s">
        <v>24</v>
      </c>
      <c r="Q22" s="45" t="s">
        <v>25</v>
      </c>
      <c r="R22" s="45" t="s">
        <v>26</v>
      </c>
      <c r="S22" s="45" t="s">
        <v>27</v>
      </c>
      <c r="T22" s="46"/>
      <c r="U22" s="46"/>
      <c r="V22" s="46"/>
      <c r="W22" s="46"/>
      <c r="X22" s="46"/>
      <c r="Y22" s="46"/>
      <c r="Z22" s="46"/>
      <c r="AA22" s="46"/>
      <c r="AB22" s="46"/>
      <c r="AC22" s="46"/>
    </row>
    <row r="23" spans="1:29" ht="14">
      <c r="A23" s="47" t="s">
        <v>110</v>
      </c>
      <c r="B23" s="48" t="s">
        <v>52</v>
      </c>
      <c r="C23" s="48" t="s">
        <v>52</v>
      </c>
      <c r="D23" s="49">
        <f t="shared" si="0"/>
        <v>22.5</v>
      </c>
      <c r="E23" s="50">
        <v>19</v>
      </c>
      <c r="F23" s="50">
        <v>26</v>
      </c>
      <c r="G23" s="50" t="s">
        <v>56</v>
      </c>
      <c r="H23" s="50" t="str">
        <f t="shared" si="1"/>
        <v>44-6</v>
      </c>
      <c r="I23" s="51">
        <v>44</v>
      </c>
      <c r="J23" s="51">
        <v>6</v>
      </c>
      <c r="K23" s="52" t="s">
        <v>20</v>
      </c>
      <c r="L23" s="52" t="s">
        <v>64</v>
      </c>
      <c r="M23" s="51" t="s">
        <v>57</v>
      </c>
      <c r="N23" s="51" t="s">
        <v>22</v>
      </c>
      <c r="O23" s="53" t="s">
        <v>23</v>
      </c>
      <c r="P23" s="53" t="s">
        <v>24</v>
      </c>
      <c r="Q23" s="52" t="s">
        <v>25</v>
      </c>
      <c r="R23" s="52" t="s">
        <v>26</v>
      </c>
      <c r="S23" s="52" t="s">
        <v>27</v>
      </c>
      <c r="T23" s="53"/>
      <c r="U23" s="53"/>
      <c r="V23" s="53"/>
      <c r="W23" s="53"/>
      <c r="X23" s="53"/>
      <c r="Y23" s="53"/>
      <c r="Z23" s="53"/>
      <c r="AA23" s="53"/>
      <c r="AB23" s="53"/>
      <c r="AC23" s="53"/>
    </row>
    <row r="24" spans="1:29" ht="14">
      <c r="A24" s="47" t="s">
        <v>110</v>
      </c>
      <c r="B24" s="48" t="s">
        <v>52</v>
      </c>
      <c r="C24" s="48" t="s">
        <v>52</v>
      </c>
      <c r="D24" s="49">
        <f t="shared" si="0"/>
        <v>22.5</v>
      </c>
      <c r="E24" s="50">
        <v>19</v>
      </c>
      <c r="F24" s="50">
        <v>26</v>
      </c>
      <c r="G24" s="50" t="s">
        <v>56</v>
      </c>
      <c r="H24" s="50" t="str">
        <f t="shared" si="1"/>
        <v>44-6</v>
      </c>
      <c r="I24" s="51">
        <v>44</v>
      </c>
      <c r="J24" s="51">
        <v>6</v>
      </c>
      <c r="K24" s="52" t="s">
        <v>20</v>
      </c>
      <c r="L24" s="52" t="s">
        <v>64</v>
      </c>
      <c r="M24" s="51" t="s">
        <v>58</v>
      </c>
      <c r="N24" s="51" t="s">
        <v>22</v>
      </c>
      <c r="O24" s="53" t="s">
        <v>23</v>
      </c>
      <c r="P24" s="53" t="s">
        <v>24</v>
      </c>
      <c r="Q24" s="52" t="s">
        <v>25</v>
      </c>
      <c r="R24" s="52" t="s">
        <v>26</v>
      </c>
      <c r="S24" s="52" t="s">
        <v>27</v>
      </c>
      <c r="T24" s="53"/>
      <c r="U24" s="53"/>
      <c r="V24" s="53"/>
      <c r="W24" s="53"/>
      <c r="X24" s="53"/>
      <c r="Y24" s="53"/>
      <c r="Z24" s="53"/>
      <c r="AA24" s="53"/>
      <c r="AB24" s="53"/>
      <c r="AC24" s="53"/>
    </row>
    <row r="25" spans="1:29" ht="13">
      <c r="A25" s="54"/>
      <c r="B25" s="54"/>
      <c r="C25" s="54"/>
      <c r="D25" s="55">
        <f t="shared" si="0"/>
        <v>21</v>
      </c>
      <c r="E25" s="56">
        <v>16</v>
      </c>
      <c r="F25" s="56">
        <v>26</v>
      </c>
      <c r="G25" s="56" t="s">
        <v>19</v>
      </c>
      <c r="H25" s="56"/>
      <c r="I25" s="56">
        <v>41</v>
      </c>
      <c r="J25" s="56">
        <v>1</v>
      </c>
      <c r="K25" s="57" t="s">
        <v>20</v>
      </c>
      <c r="L25" s="57" t="s">
        <v>64</v>
      </c>
      <c r="M25" s="56" t="s">
        <v>59</v>
      </c>
      <c r="N25" s="56" t="s">
        <v>22</v>
      </c>
      <c r="O25" s="54" t="s">
        <v>23</v>
      </c>
      <c r="P25" s="57" t="s">
        <v>24</v>
      </c>
      <c r="Q25" s="57" t="s">
        <v>25</v>
      </c>
      <c r="R25" s="57" t="s">
        <v>26</v>
      </c>
      <c r="S25" s="57" t="s">
        <v>27</v>
      </c>
      <c r="T25" s="54"/>
      <c r="U25" s="54"/>
      <c r="V25" s="54"/>
      <c r="W25" s="54"/>
      <c r="X25" s="54"/>
      <c r="Y25" s="54"/>
      <c r="Z25" s="54"/>
      <c r="AA25" s="54"/>
      <c r="AB25" s="54"/>
      <c r="AC25" s="54"/>
    </row>
    <row r="26" spans="1:29" ht="13">
      <c r="A26" s="54"/>
      <c r="B26" s="54"/>
      <c r="C26" s="54"/>
      <c r="D26" s="55">
        <f t="shared" si="0"/>
        <v>22.5</v>
      </c>
      <c r="E26" s="56">
        <v>20</v>
      </c>
      <c r="F26" s="56">
        <v>25</v>
      </c>
      <c r="G26" s="56" t="s">
        <v>19</v>
      </c>
      <c r="H26" s="56"/>
      <c r="I26" s="56">
        <v>44</v>
      </c>
      <c r="J26" s="56">
        <v>5</v>
      </c>
      <c r="K26" s="57" t="s">
        <v>20</v>
      </c>
      <c r="L26" s="57" t="s">
        <v>64</v>
      </c>
      <c r="M26" s="56" t="s">
        <v>60</v>
      </c>
      <c r="N26" s="56" t="s">
        <v>22</v>
      </c>
      <c r="O26" s="54" t="s">
        <v>23</v>
      </c>
      <c r="P26" s="54" t="s">
        <v>24</v>
      </c>
      <c r="Q26" s="57" t="s">
        <v>25</v>
      </c>
      <c r="R26" s="57" t="s">
        <v>26</v>
      </c>
      <c r="S26" s="57" t="s">
        <v>27</v>
      </c>
      <c r="T26" s="58"/>
      <c r="U26" s="58"/>
      <c r="V26" s="58"/>
      <c r="W26" s="58"/>
      <c r="X26" s="58"/>
      <c r="Y26" s="58"/>
      <c r="Z26" s="54"/>
      <c r="AA26" s="54"/>
      <c r="AB26" s="54"/>
      <c r="AC26" s="54"/>
    </row>
    <row r="27" spans="1:29" ht="13">
      <c r="A27" s="54"/>
      <c r="B27" s="54"/>
      <c r="C27" s="54"/>
      <c r="D27" s="55">
        <f t="shared" si="0"/>
        <v>22.5</v>
      </c>
      <c r="E27" s="56">
        <v>21</v>
      </c>
      <c r="F27" s="56">
        <v>24</v>
      </c>
      <c r="G27" s="56" t="s">
        <v>37</v>
      </c>
      <c r="H27" s="56"/>
      <c r="I27" s="56">
        <v>44</v>
      </c>
      <c r="J27" s="56">
        <v>7</v>
      </c>
      <c r="K27" s="57" t="s">
        <v>20</v>
      </c>
      <c r="L27" s="57" t="s">
        <v>64</v>
      </c>
      <c r="M27" s="56" t="s">
        <v>61</v>
      </c>
      <c r="N27" s="56" t="s">
        <v>22</v>
      </c>
      <c r="O27" s="54" t="s">
        <v>23</v>
      </c>
      <c r="P27" s="54" t="s">
        <v>24</v>
      </c>
      <c r="Q27" s="57" t="s">
        <v>25</v>
      </c>
      <c r="R27" s="57" t="s">
        <v>26</v>
      </c>
      <c r="S27" s="57" t="s">
        <v>27</v>
      </c>
      <c r="T27" s="58"/>
      <c r="U27" s="58"/>
      <c r="V27" s="58"/>
      <c r="W27" s="58"/>
      <c r="X27" s="58"/>
      <c r="Y27" s="58"/>
      <c r="Z27" s="54"/>
      <c r="AA27" s="54"/>
      <c r="AB27" s="54"/>
      <c r="AC27" s="54"/>
    </row>
    <row r="28" spans="1:29" ht="15.7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0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</row>
    <row r="29" spans="1:29" ht="15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60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</row>
    <row r="30" spans="1:29" ht="15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60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</row>
    <row r="31" spans="1:29" ht="15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60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</row>
    <row r="32" spans="1:29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60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</row>
    <row r="33" spans="1:29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60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</row>
    <row r="34" spans="1:29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60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</row>
    <row r="35" spans="1:29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61"/>
      <c r="P35" s="59"/>
      <c r="Q35" s="59"/>
      <c r="R35" s="60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</row>
    <row r="36" spans="1:29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60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</row>
    <row r="37" spans="1:29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60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</row>
    <row r="38" spans="1:29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60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</row>
    <row r="39" spans="1:29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60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</row>
    <row r="40" spans="1:29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60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</row>
    <row r="41" spans="1:29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60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</row>
    <row r="42" spans="1:29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60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</row>
    <row r="43" spans="1:29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60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</row>
    <row r="44" spans="1:29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60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</row>
    <row r="45" spans="1:29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60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</row>
    <row r="46" spans="1:29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60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</row>
    <row r="47" spans="1:29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60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</row>
    <row r="48" spans="1:29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60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</row>
    <row r="49" spans="1:2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60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</row>
    <row r="50" spans="1:29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60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</row>
    <row r="51" spans="1:29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60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</row>
    <row r="52" spans="1:29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60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</row>
    <row r="53" spans="1:29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60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</row>
    <row r="54" spans="1:29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60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</row>
    <row r="55" spans="1:29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60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</row>
    <row r="56" spans="1:29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60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</row>
    <row r="57" spans="1:29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60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</row>
    <row r="58" spans="1:29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60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</row>
    <row r="59" spans="1:2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60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</row>
    <row r="60" spans="1:29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60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</row>
    <row r="61" spans="1:29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60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</row>
    <row r="62" spans="1:29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60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</row>
    <row r="63" spans="1:29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60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</row>
    <row r="64" spans="1:29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60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</row>
    <row r="65" spans="1:29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60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</row>
    <row r="66" spans="1:29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60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</row>
    <row r="67" spans="1:29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60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</row>
    <row r="68" spans="1:29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60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</row>
    <row r="69" spans="1:2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60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</row>
    <row r="70" spans="1:29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60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</row>
  </sheetData>
  <phoneticPr fontId="10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2D68-969B-C04E-9A73-8C909E8BB454}">
  <sheetPr>
    <tabColor theme="6" tint="0.79998168889431442"/>
    <outlinePr summaryBelow="0" summaryRight="0"/>
  </sheetPr>
  <dimension ref="A1:H43"/>
  <sheetViews>
    <sheetView zoomScale="116" workbookViewId="0">
      <pane ySplit="1" topLeftCell="A2" activePane="bottomLeft" state="frozen"/>
      <selection sqref="A1:G1048576"/>
      <selection pane="bottomLeft" activeCell="J9" sqref="J8:J9"/>
    </sheetView>
  </sheetViews>
  <sheetFormatPr baseColWidth="10" defaultColWidth="12.6640625" defaultRowHeight="48" customHeight="1"/>
  <cols>
    <col min="1" max="3" width="8.6640625" bestFit="1" customWidth="1"/>
    <col min="4" max="4" width="12.1640625" bestFit="1" customWidth="1"/>
    <col min="5" max="5" width="12.1640625" customWidth="1"/>
    <col min="6" max="7" width="12.1640625" bestFit="1" customWidth="1"/>
    <col min="8" max="8" width="16.33203125" bestFit="1" customWidth="1"/>
  </cols>
  <sheetData>
    <row r="1" spans="1:8" ht="48" customHeight="1">
      <c r="A1" s="1" t="s">
        <v>90</v>
      </c>
      <c r="B1" s="2" t="s">
        <v>1</v>
      </c>
      <c r="C1" s="2" t="s">
        <v>2</v>
      </c>
      <c r="D1" s="64" t="s">
        <v>103</v>
      </c>
      <c r="E1" s="64" t="s">
        <v>104</v>
      </c>
      <c r="F1" s="2" t="s">
        <v>4</v>
      </c>
      <c r="G1" s="2" t="s">
        <v>5</v>
      </c>
      <c r="H1" s="2" t="s">
        <v>6</v>
      </c>
    </row>
    <row r="2" spans="1:8" ht="48" customHeight="1">
      <c r="A2" s="6" t="s">
        <v>91</v>
      </c>
      <c r="B2" s="7">
        <v>0.3125</v>
      </c>
      <c r="C2" s="7">
        <v>0.83333333333333337</v>
      </c>
      <c r="D2" s="9">
        <v>19</v>
      </c>
      <c r="E2" s="9">
        <v>26</v>
      </c>
      <c r="F2" s="9">
        <v>19</v>
      </c>
      <c r="G2" s="9">
        <v>26</v>
      </c>
      <c r="H2" s="9" t="s">
        <v>19</v>
      </c>
    </row>
    <row r="3" spans="1:8" ht="48" customHeight="1">
      <c r="A3" s="15" t="s">
        <v>92</v>
      </c>
      <c r="B3" s="16">
        <v>0.29166666666666669</v>
      </c>
      <c r="C3" s="16">
        <v>0.83333333333333337</v>
      </c>
      <c r="D3" s="9">
        <v>19</v>
      </c>
      <c r="E3" s="18">
        <v>26</v>
      </c>
      <c r="F3" s="18">
        <v>20</v>
      </c>
      <c r="G3" s="18">
        <v>26</v>
      </c>
      <c r="H3" s="18" t="s">
        <v>19</v>
      </c>
    </row>
    <row r="4" spans="1:8" ht="48" customHeight="1">
      <c r="A4" s="23" t="s">
        <v>93</v>
      </c>
      <c r="B4" s="24">
        <v>0.3125</v>
      </c>
      <c r="C4" s="24">
        <v>0.83333333333333337</v>
      </c>
      <c r="D4" s="9">
        <v>19</v>
      </c>
      <c r="E4" s="26">
        <v>27</v>
      </c>
      <c r="F4" s="26">
        <v>20</v>
      </c>
      <c r="G4" s="26">
        <v>27</v>
      </c>
      <c r="H4" s="26" t="s">
        <v>19</v>
      </c>
    </row>
    <row r="5" spans="1:8" ht="48" customHeight="1">
      <c r="A5" s="32" t="s">
        <v>94</v>
      </c>
      <c r="B5" s="33">
        <v>0.27083333333333331</v>
      </c>
      <c r="C5" s="33">
        <v>0.83333333333333337</v>
      </c>
      <c r="D5" s="9">
        <v>19</v>
      </c>
      <c r="E5" s="35">
        <v>26</v>
      </c>
      <c r="F5" s="35">
        <v>23</v>
      </c>
      <c r="G5" s="35">
        <v>26</v>
      </c>
      <c r="H5" s="35" t="s">
        <v>19</v>
      </c>
    </row>
    <row r="6" spans="1:8" ht="48" customHeight="1">
      <c r="A6" s="6" t="s">
        <v>95</v>
      </c>
      <c r="B6" s="33">
        <v>0.29166666666666669</v>
      </c>
      <c r="C6" s="33">
        <v>0.83333333333333337</v>
      </c>
      <c r="D6" s="9">
        <v>19</v>
      </c>
      <c r="E6" s="43">
        <v>26</v>
      </c>
      <c r="F6" s="43">
        <v>20</v>
      </c>
      <c r="G6" s="43">
        <v>26</v>
      </c>
      <c r="H6" s="43" t="s">
        <v>19</v>
      </c>
    </row>
    <row r="7" spans="1:8" ht="48" customHeight="1">
      <c r="A7" s="15" t="s">
        <v>96</v>
      </c>
      <c r="B7" s="63">
        <v>0.29166666666666669</v>
      </c>
      <c r="C7" s="63">
        <v>0.83333333333333337</v>
      </c>
      <c r="D7" s="9">
        <v>19</v>
      </c>
      <c r="E7" s="50">
        <v>26</v>
      </c>
      <c r="F7" s="50">
        <v>19</v>
      </c>
      <c r="G7" s="50">
        <v>26</v>
      </c>
      <c r="H7" s="50" t="s">
        <v>56</v>
      </c>
    </row>
    <row r="8" spans="1:8" ht="48" customHeight="1">
      <c r="A8" s="23" t="s">
        <v>97</v>
      </c>
      <c r="B8" s="16">
        <v>0.29166666666666669</v>
      </c>
      <c r="C8" s="16">
        <v>0.83333333333333337</v>
      </c>
      <c r="D8" s="9">
        <v>19</v>
      </c>
      <c r="E8" s="18">
        <v>26</v>
      </c>
      <c r="F8" s="18">
        <v>20</v>
      </c>
      <c r="G8" s="18">
        <v>26</v>
      </c>
      <c r="H8" s="18" t="s">
        <v>19</v>
      </c>
    </row>
    <row r="9" spans="1:8" ht="48" customHeight="1">
      <c r="A9" s="32" t="s">
        <v>98</v>
      </c>
      <c r="B9" s="24">
        <v>0.3125</v>
      </c>
      <c r="C9" s="24">
        <v>0.83333333333333337</v>
      </c>
      <c r="D9" s="9">
        <v>19</v>
      </c>
      <c r="E9" s="26">
        <v>27</v>
      </c>
      <c r="F9" s="26">
        <v>20</v>
      </c>
      <c r="G9" s="26">
        <v>27</v>
      </c>
      <c r="H9" s="26" t="s">
        <v>19</v>
      </c>
    </row>
    <row r="10" spans="1:8" ht="48" customHeight="1">
      <c r="A10" s="6" t="s">
        <v>102</v>
      </c>
      <c r="B10" s="33">
        <v>0.27083333333333331</v>
      </c>
      <c r="C10" s="33">
        <v>0.83333333333333337</v>
      </c>
      <c r="D10" s="9">
        <v>19</v>
      </c>
      <c r="E10" s="35">
        <v>26</v>
      </c>
      <c r="F10" s="35">
        <v>23</v>
      </c>
      <c r="G10" s="35">
        <v>26</v>
      </c>
      <c r="H10" s="35" t="s">
        <v>19</v>
      </c>
    </row>
    <row r="11" spans="1:8" ht="48" customHeight="1">
      <c r="A11" s="15" t="s">
        <v>99</v>
      </c>
      <c r="B11" s="33">
        <v>0.29166666666666669</v>
      </c>
      <c r="C11" s="33">
        <v>0.83333333333333337</v>
      </c>
      <c r="D11" s="9">
        <v>19</v>
      </c>
      <c r="E11" s="43">
        <v>26</v>
      </c>
      <c r="F11" s="43">
        <v>20</v>
      </c>
      <c r="G11" s="43">
        <v>26</v>
      </c>
      <c r="H11" s="43" t="s">
        <v>19</v>
      </c>
    </row>
    <row r="12" spans="1:8" ht="48" customHeight="1">
      <c r="A12" s="23" t="s">
        <v>100</v>
      </c>
      <c r="B12" s="63">
        <v>0.29166666666666669</v>
      </c>
      <c r="C12" s="63">
        <v>0.83333333333333337</v>
      </c>
      <c r="D12" s="9">
        <v>19</v>
      </c>
      <c r="E12" s="50">
        <v>26</v>
      </c>
      <c r="F12" s="50">
        <v>19</v>
      </c>
      <c r="G12" s="50">
        <v>26</v>
      </c>
      <c r="H12" s="50" t="s">
        <v>56</v>
      </c>
    </row>
    <row r="13" spans="1:8" ht="48" customHeight="1">
      <c r="A13" s="32" t="s">
        <v>101</v>
      </c>
      <c r="B13" s="63">
        <v>0.29166666666666669</v>
      </c>
      <c r="C13" s="63">
        <v>0.83333333333333337</v>
      </c>
      <c r="D13" s="9">
        <v>19</v>
      </c>
      <c r="E13" s="50">
        <v>26</v>
      </c>
      <c r="F13" s="50">
        <v>19</v>
      </c>
      <c r="G13" s="50">
        <v>26</v>
      </c>
      <c r="H13" s="50" t="s">
        <v>56</v>
      </c>
    </row>
    <row r="14" spans="1:8" ht="48" customHeight="1">
      <c r="A14" s="59"/>
      <c r="B14" s="59"/>
      <c r="C14" s="59"/>
      <c r="D14" s="59"/>
      <c r="E14" s="59"/>
      <c r="F14" s="59"/>
      <c r="G14" s="59"/>
      <c r="H14" s="59"/>
    </row>
    <row r="15" spans="1:8" ht="48" customHeight="1">
      <c r="A15" s="59"/>
      <c r="B15" s="59"/>
      <c r="C15" s="59"/>
      <c r="D15" s="59"/>
      <c r="E15" s="59"/>
      <c r="F15" s="59"/>
      <c r="G15" s="59"/>
      <c r="H15" s="59"/>
    </row>
    <row r="16" spans="1:8" ht="48" customHeight="1">
      <c r="A16" s="59"/>
      <c r="B16" s="59"/>
      <c r="C16" s="59"/>
      <c r="D16" s="59"/>
      <c r="E16" s="59"/>
      <c r="F16" s="59"/>
      <c r="G16" s="59"/>
      <c r="H16" s="59"/>
    </row>
    <row r="17" spans="1:8" ht="48" customHeight="1">
      <c r="A17" s="59"/>
      <c r="B17" s="59"/>
      <c r="C17" s="59"/>
      <c r="D17" s="59"/>
      <c r="E17" s="59"/>
      <c r="F17" s="59"/>
      <c r="G17" s="59"/>
      <c r="H17" s="59"/>
    </row>
    <row r="18" spans="1:8" ht="48" customHeight="1">
      <c r="A18" s="59"/>
      <c r="B18" s="59"/>
      <c r="C18" s="59"/>
      <c r="D18" s="59"/>
      <c r="E18" s="59"/>
      <c r="F18" s="59"/>
      <c r="G18" s="59"/>
      <c r="H18" s="59"/>
    </row>
    <row r="19" spans="1:8" ht="48" customHeight="1">
      <c r="A19" s="59"/>
      <c r="B19" s="59"/>
      <c r="C19" s="59"/>
      <c r="D19" s="59"/>
      <c r="E19" s="59"/>
      <c r="F19" s="59"/>
      <c r="G19" s="59"/>
      <c r="H19" s="59"/>
    </row>
    <row r="20" spans="1:8" ht="48" customHeight="1">
      <c r="A20" s="59"/>
      <c r="B20" s="59"/>
      <c r="C20" s="59"/>
      <c r="D20" s="59"/>
      <c r="E20" s="59"/>
      <c r="F20" s="59"/>
      <c r="G20" s="59"/>
      <c r="H20" s="59"/>
    </row>
    <row r="21" spans="1:8" ht="48" customHeight="1">
      <c r="A21" s="59"/>
      <c r="B21" s="59"/>
      <c r="C21" s="59"/>
      <c r="D21" s="59"/>
      <c r="E21" s="59"/>
      <c r="F21" s="59"/>
      <c r="G21" s="59"/>
      <c r="H21" s="59"/>
    </row>
    <row r="22" spans="1:8" ht="48" customHeight="1">
      <c r="A22" s="59"/>
      <c r="B22" s="59"/>
      <c r="C22" s="59"/>
      <c r="D22" s="59"/>
      <c r="E22" s="59"/>
      <c r="F22" s="59"/>
      <c r="G22" s="59"/>
      <c r="H22" s="59"/>
    </row>
    <row r="23" spans="1:8" ht="48" customHeight="1">
      <c r="A23" s="59"/>
      <c r="B23" s="59"/>
      <c r="C23" s="59"/>
      <c r="D23" s="59"/>
      <c r="E23" s="59"/>
      <c r="F23" s="59"/>
      <c r="G23" s="59"/>
      <c r="H23" s="59"/>
    </row>
    <row r="24" spans="1:8" ht="48" customHeight="1">
      <c r="A24" s="59"/>
      <c r="B24" s="59"/>
      <c r="C24" s="59"/>
      <c r="D24" s="59"/>
      <c r="E24" s="59"/>
      <c r="F24" s="59"/>
      <c r="G24" s="59"/>
      <c r="H24" s="59"/>
    </row>
    <row r="25" spans="1:8" ht="48" customHeight="1">
      <c r="A25" s="59"/>
      <c r="B25" s="59"/>
      <c r="C25" s="59"/>
      <c r="D25" s="59"/>
      <c r="E25" s="59"/>
      <c r="F25" s="59"/>
      <c r="G25" s="59"/>
      <c r="H25" s="59"/>
    </row>
    <row r="26" spans="1:8" ht="48" customHeight="1">
      <c r="A26" s="59"/>
      <c r="B26" s="59"/>
      <c r="C26" s="59"/>
      <c r="D26" s="59"/>
      <c r="E26" s="59"/>
      <c r="F26" s="59"/>
      <c r="G26" s="59"/>
      <c r="H26" s="59"/>
    </row>
    <row r="27" spans="1:8" ht="48" customHeight="1">
      <c r="A27" s="59"/>
      <c r="B27" s="59"/>
      <c r="C27" s="59"/>
      <c r="D27" s="59"/>
      <c r="E27" s="59"/>
      <c r="F27" s="59"/>
      <c r="G27" s="59"/>
      <c r="H27" s="59"/>
    </row>
    <row r="28" spans="1:8" ht="48" customHeight="1">
      <c r="A28" s="59"/>
      <c r="B28" s="59"/>
      <c r="C28" s="59"/>
      <c r="D28" s="59"/>
      <c r="E28" s="59"/>
      <c r="F28" s="59"/>
      <c r="G28" s="59"/>
      <c r="H28" s="59"/>
    </row>
    <row r="29" spans="1:8" ht="48" customHeight="1">
      <c r="A29" s="59"/>
      <c r="B29" s="59"/>
      <c r="C29" s="59"/>
      <c r="D29" s="59"/>
      <c r="E29" s="59"/>
      <c r="F29" s="59"/>
      <c r="G29" s="59"/>
      <c r="H29" s="59"/>
    </row>
    <row r="30" spans="1:8" ht="48" customHeight="1">
      <c r="A30" s="59"/>
      <c r="B30" s="59"/>
      <c r="C30" s="59"/>
      <c r="D30" s="59"/>
      <c r="E30" s="59"/>
      <c r="F30" s="59"/>
      <c r="G30" s="59"/>
      <c r="H30" s="59"/>
    </row>
    <row r="31" spans="1:8" ht="48" customHeight="1">
      <c r="A31" s="59"/>
      <c r="B31" s="59"/>
      <c r="C31" s="59"/>
      <c r="D31" s="59"/>
      <c r="E31" s="59"/>
      <c r="F31" s="59"/>
      <c r="G31" s="59"/>
      <c r="H31" s="59"/>
    </row>
    <row r="32" spans="1:8" ht="48" customHeight="1">
      <c r="A32" s="59"/>
      <c r="B32" s="59"/>
      <c r="C32" s="59"/>
      <c r="D32" s="59"/>
      <c r="E32" s="59"/>
      <c r="F32" s="59"/>
      <c r="G32" s="59"/>
      <c r="H32" s="59"/>
    </row>
    <row r="33" spans="1:8" ht="48" customHeight="1">
      <c r="A33" s="59"/>
      <c r="B33" s="59"/>
      <c r="C33" s="59"/>
      <c r="D33" s="59"/>
      <c r="E33" s="59"/>
      <c r="F33" s="59"/>
      <c r="G33" s="59"/>
      <c r="H33" s="59"/>
    </row>
    <row r="34" spans="1:8" ht="48" customHeight="1">
      <c r="A34" s="59"/>
      <c r="B34" s="59"/>
      <c r="C34" s="59"/>
      <c r="D34" s="59"/>
      <c r="E34" s="59"/>
      <c r="F34" s="59"/>
      <c r="G34" s="59"/>
      <c r="H34" s="59"/>
    </row>
    <row r="35" spans="1:8" ht="48" customHeight="1">
      <c r="A35" s="59"/>
      <c r="B35" s="59"/>
      <c r="C35" s="59"/>
      <c r="D35" s="59"/>
      <c r="E35" s="59"/>
      <c r="F35" s="59"/>
      <c r="G35" s="59"/>
      <c r="H35" s="59"/>
    </row>
    <row r="36" spans="1:8" ht="48" customHeight="1">
      <c r="A36" s="59"/>
      <c r="B36" s="59"/>
      <c r="C36" s="59"/>
      <c r="D36" s="59"/>
      <c r="E36" s="59"/>
      <c r="F36" s="59"/>
      <c r="G36" s="59"/>
      <c r="H36" s="59"/>
    </row>
    <row r="37" spans="1:8" ht="48" customHeight="1">
      <c r="A37" s="59"/>
      <c r="B37" s="59"/>
      <c r="C37" s="59"/>
      <c r="D37" s="59"/>
      <c r="E37" s="59"/>
      <c r="F37" s="59"/>
      <c r="G37" s="59"/>
      <c r="H37" s="59"/>
    </row>
    <row r="38" spans="1:8" ht="48" customHeight="1">
      <c r="A38" s="59"/>
      <c r="B38" s="59"/>
      <c r="C38" s="59"/>
      <c r="D38" s="59"/>
      <c r="E38" s="59"/>
      <c r="F38" s="59"/>
      <c r="G38" s="59"/>
      <c r="H38" s="59"/>
    </row>
    <row r="39" spans="1:8" ht="48" customHeight="1">
      <c r="A39" s="59"/>
      <c r="B39" s="59"/>
      <c r="C39" s="59"/>
      <c r="D39" s="59"/>
      <c r="E39" s="59"/>
      <c r="F39" s="59"/>
      <c r="G39" s="59"/>
      <c r="H39" s="59"/>
    </row>
    <row r="40" spans="1:8" ht="48" customHeight="1">
      <c r="A40" s="59"/>
      <c r="B40" s="59"/>
      <c r="C40" s="59"/>
      <c r="D40" s="59"/>
      <c r="E40" s="59"/>
      <c r="F40" s="59"/>
      <c r="G40" s="59"/>
      <c r="H40" s="59"/>
    </row>
    <row r="41" spans="1:8" ht="48" customHeight="1">
      <c r="A41" s="59"/>
      <c r="B41" s="59"/>
      <c r="C41" s="59"/>
      <c r="D41" s="59"/>
      <c r="E41" s="59"/>
      <c r="F41" s="59"/>
      <c r="G41" s="59"/>
      <c r="H41" s="59"/>
    </row>
    <row r="42" spans="1:8" ht="48" customHeight="1">
      <c r="A42" s="59"/>
      <c r="B42" s="59"/>
      <c r="C42" s="59"/>
      <c r="D42" s="59"/>
      <c r="E42" s="59"/>
      <c r="F42" s="59"/>
      <c r="G42" s="59"/>
      <c r="H42" s="59"/>
    </row>
    <row r="43" spans="1:8" ht="48" customHeight="1">
      <c r="A43" s="59"/>
      <c r="B43" s="59"/>
      <c r="C43" s="59"/>
      <c r="D43" s="59"/>
      <c r="E43" s="59"/>
      <c r="F43" s="59"/>
      <c r="G43" s="59"/>
      <c r="H43" s="59"/>
    </row>
  </sheetData>
  <phoneticPr fontId="10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F3F5-01C4-BB42-839F-6F81D347D1D0}">
  <sheetPr>
    <tabColor theme="6" tint="0.79998168889431442"/>
    <outlinePr summaryBelow="0" summaryRight="0"/>
  </sheetPr>
  <dimension ref="A1:H43"/>
  <sheetViews>
    <sheetView zoomScale="116" workbookViewId="0">
      <pane ySplit="1" topLeftCell="A2" activePane="bottomLeft" state="frozen"/>
      <selection sqref="A1:G1048576"/>
      <selection pane="bottomLeft" activeCell="D4" sqref="D4"/>
    </sheetView>
  </sheetViews>
  <sheetFormatPr baseColWidth="10" defaultColWidth="12.6640625" defaultRowHeight="48" customHeight="1"/>
  <cols>
    <col min="1" max="3" width="8.6640625" bestFit="1" customWidth="1"/>
    <col min="4" max="4" width="8.6640625" customWidth="1"/>
    <col min="5" max="7" width="12.1640625" bestFit="1" customWidth="1"/>
    <col min="8" max="8" width="16.33203125" bestFit="1" customWidth="1"/>
  </cols>
  <sheetData>
    <row r="1" spans="1:8" ht="48" customHeight="1">
      <c r="A1" s="1" t="s">
        <v>0</v>
      </c>
      <c r="B1" s="2" t="s">
        <v>1</v>
      </c>
      <c r="C1" s="2" t="s">
        <v>2</v>
      </c>
      <c r="D1" s="64" t="s">
        <v>65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48" customHeight="1">
      <c r="A2" s="6" t="s">
        <v>105</v>
      </c>
      <c r="B2" s="7">
        <v>0.3125</v>
      </c>
      <c r="C2" s="7">
        <v>0.83333333333333337</v>
      </c>
      <c r="D2" s="7" t="b">
        <v>0</v>
      </c>
      <c r="E2" s="8">
        <f t="shared" ref="E2:E7" si="0">(F2+G2)/2</f>
        <v>22.5</v>
      </c>
      <c r="F2" s="9">
        <v>19</v>
      </c>
      <c r="G2" s="9">
        <v>26</v>
      </c>
      <c r="H2" s="9" t="s">
        <v>19</v>
      </c>
    </row>
    <row r="3" spans="1:8" ht="48" customHeight="1">
      <c r="A3" s="15" t="s">
        <v>106</v>
      </c>
      <c r="B3" s="16">
        <v>0.29166666666666669</v>
      </c>
      <c r="C3" s="16">
        <v>0.83333333333333337</v>
      </c>
      <c r="D3" s="16" t="b">
        <v>0</v>
      </c>
      <c r="E3" s="17">
        <f t="shared" si="0"/>
        <v>23</v>
      </c>
      <c r="F3" s="18">
        <v>20</v>
      </c>
      <c r="G3" s="18">
        <v>26</v>
      </c>
      <c r="H3" s="18" t="s">
        <v>19</v>
      </c>
    </row>
    <row r="4" spans="1:8" ht="48" customHeight="1">
      <c r="A4" s="23" t="s">
        <v>107</v>
      </c>
      <c r="B4" s="24">
        <v>0.3125</v>
      </c>
      <c r="C4" s="24">
        <v>0.83333333333333337</v>
      </c>
      <c r="D4" s="24" t="b">
        <v>0</v>
      </c>
      <c r="E4" s="25">
        <f t="shared" si="0"/>
        <v>23.5</v>
      </c>
      <c r="F4" s="26">
        <v>20</v>
      </c>
      <c r="G4" s="26">
        <v>27</v>
      </c>
      <c r="H4" s="26" t="s">
        <v>19</v>
      </c>
    </row>
    <row r="5" spans="1:8" ht="48" customHeight="1">
      <c r="A5" s="32" t="s">
        <v>108</v>
      </c>
      <c r="B5" s="33">
        <v>0.27083333333333331</v>
      </c>
      <c r="C5" s="33">
        <v>0.83333333333333337</v>
      </c>
      <c r="D5" s="33" t="b">
        <v>0</v>
      </c>
      <c r="E5" s="34">
        <f t="shared" si="0"/>
        <v>24.5</v>
      </c>
      <c r="F5" s="35">
        <v>23</v>
      </c>
      <c r="G5" s="35">
        <v>26</v>
      </c>
      <c r="H5" s="35" t="s">
        <v>19</v>
      </c>
    </row>
    <row r="6" spans="1:8" ht="48" customHeight="1">
      <c r="A6" s="40" t="s">
        <v>109</v>
      </c>
      <c r="B6" s="41">
        <v>0.29166666666666669</v>
      </c>
      <c r="C6" s="41">
        <v>0.83333333333333337</v>
      </c>
      <c r="D6" s="41" t="b">
        <v>1</v>
      </c>
      <c r="E6" s="42">
        <f t="shared" si="0"/>
        <v>23</v>
      </c>
      <c r="F6" s="43">
        <v>20</v>
      </c>
      <c r="G6" s="43">
        <v>26</v>
      </c>
      <c r="H6" s="43" t="s">
        <v>19</v>
      </c>
    </row>
    <row r="7" spans="1:8" ht="48" customHeight="1">
      <c r="A7" s="47" t="s">
        <v>110</v>
      </c>
      <c r="B7" s="63">
        <v>0.29166666666666669</v>
      </c>
      <c r="C7" s="63">
        <v>0.83333333333333337</v>
      </c>
      <c r="D7" s="63" t="b">
        <v>1</v>
      </c>
      <c r="E7" s="49">
        <f t="shared" si="0"/>
        <v>22.5</v>
      </c>
      <c r="F7" s="50">
        <v>19</v>
      </c>
      <c r="G7" s="50">
        <v>26</v>
      </c>
      <c r="H7" s="50" t="s">
        <v>56</v>
      </c>
    </row>
    <row r="8" spans="1:8" ht="48" customHeight="1">
      <c r="A8" s="59"/>
      <c r="B8" s="59"/>
      <c r="C8" s="59"/>
      <c r="D8" s="59"/>
      <c r="E8" s="59"/>
      <c r="F8" s="59"/>
      <c r="G8" s="59"/>
      <c r="H8" s="59"/>
    </row>
    <row r="9" spans="1:8" ht="48" customHeight="1">
      <c r="A9" s="59"/>
      <c r="B9" s="59"/>
      <c r="C9" s="59"/>
      <c r="D9" s="59"/>
      <c r="E9" s="59"/>
      <c r="F9" s="59"/>
      <c r="G9" s="59"/>
      <c r="H9" s="59"/>
    </row>
    <row r="10" spans="1:8" ht="48" customHeight="1">
      <c r="A10" s="59"/>
      <c r="B10" s="59"/>
      <c r="C10" s="59"/>
      <c r="D10" s="59"/>
      <c r="E10" s="59"/>
      <c r="F10" s="59"/>
      <c r="G10" s="59"/>
      <c r="H10" s="59"/>
    </row>
    <row r="11" spans="1:8" ht="48" customHeight="1">
      <c r="A11" s="59"/>
      <c r="B11" s="59"/>
      <c r="C11" s="59"/>
      <c r="D11" s="59"/>
      <c r="E11" s="59"/>
      <c r="F11" s="59"/>
      <c r="G11" s="59"/>
      <c r="H11" s="59"/>
    </row>
    <row r="12" spans="1:8" ht="48" customHeight="1">
      <c r="A12" s="59"/>
      <c r="B12" s="59"/>
      <c r="C12" s="59"/>
      <c r="D12" s="59"/>
      <c r="E12" s="59"/>
      <c r="F12" s="59"/>
      <c r="G12" s="59"/>
      <c r="H12" s="59"/>
    </row>
    <row r="13" spans="1:8" ht="48" customHeight="1">
      <c r="A13" s="59"/>
      <c r="B13" s="59"/>
      <c r="C13" s="59"/>
      <c r="D13" s="59"/>
      <c r="E13" s="59"/>
      <c r="F13" s="59"/>
      <c r="G13" s="59"/>
      <c r="H13" s="59"/>
    </row>
    <row r="14" spans="1:8" ht="48" customHeight="1">
      <c r="A14" s="59"/>
      <c r="B14" s="59"/>
      <c r="C14" s="59"/>
      <c r="D14" s="59"/>
      <c r="E14" s="59"/>
      <c r="F14" s="59"/>
      <c r="G14" s="59"/>
      <c r="H14" s="59"/>
    </row>
    <row r="15" spans="1:8" ht="48" customHeight="1">
      <c r="A15" s="59"/>
      <c r="B15" s="59"/>
      <c r="C15" s="59"/>
      <c r="D15" s="59"/>
      <c r="E15" s="59"/>
      <c r="F15" s="59"/>
      <c r="G15" s="59"/>
      <c r="H15" s="59"/>
    </row>
    <row r="16" spans="1:8" ht="48" customHeight="1">
      <c r="A16" s="59"/>
      <c r="B16" s="59"/>
      <c r="C16" s="59"/>
      <c r="D16" s="59"/>
      <c r="E16" s="59"/>
      <c r="F16" s="59"/>
      <c r="G16" s="59"/>
      <c r="H16" s="59"/>
    </row>
    <row r="17" spans="1:8" ht="48" customHeight="1">
      <c r="A17" s="59"/>
      <c r="B17" s="59"/>
      <c r="C17" s="59"/>
      <c r="D17" s="59"/>
      <c r="E17" s="59"/>
      <c r="F17" s="59"/>
      <c r="G17" s="59"/>
      <c r="H17" s="59"/>
    </row>
    <row r="18" spans="1:8" ht="48" customHeight="1">
      <c r="A18" s="59"/>
      <c r="B18" s="59"/>
      <c r="C18" s="59"/>
      <c r="D18" s="59"/>
      <c r="E18" s="59"/>
      <c r="F18" s="59"/>
      <c r="G18" s="59"/>
      <c r="H18" s="59"/>
    </row>
    <row r="19" spans="1:8" ht="48" customHeight="1">
      <c r="A19" s="59"/>
      <c r="B19" s="59"/>
      <c r="C19" s="59"/>
      <c r="D19" s="59"/>
      <c r="E19" s="59"/>
      <c r="F19" s="59"/>
      <c r="G19" s="59"/>
      <c r="H19" s="59"/>
    </row>
    <row r="20" spans="1:8" ht="48" customHeight="1">
      <c r="A20" s="59"/>
      <c r="B20" s="59"/>
      <c r="C20" s="59"/>
      <c r="D20" s="59"/>
      <c r="E20" s="59"/>
      <c r="F20" s="59"/>
      <c r="G20" s="59"/>
      <c r="H20" s="59"/>
    </row>
    <row r="21" spans="1:8" ht="48" customHeight="1">
      <c r="A21" s="59"/>
      <c r="B21" s="59"/>
      <c r="C21" s="59"/>
      <c r="D21" s="59"/>
      <c r="E21" s="59"/>
      <c r="F21" s="59"/>
      <c r="G21" s="59"/>
      <c r="H21" s="59"/>
    </row>
    <row r="22" spans="1:8" ht="48" customHeight="1">
      <c r="A22" s="59"/>
      <c r="B22" s="59"/>
      <c r="C22" s="59"/>
      <c r="D22" s="59"/>
      <c r="E22" s="59"/>
      <c r="F22" s="59"/>
      <c r="G22" s="59"/>
      <c r="H22" s="59"/>
    </row>
    <row r="23" spans="1:8" ht="48" customHeight="1">
      <c r="A23" s="59"/>
      <c r="B23" s="59"/>
      <c r="C23" s="59"/>
      <c r="D23" s="59"/>
      <c r="E23" s="59"/>
      <c r="F23" s="59"/>
      <c r="G23" s="59"/>
      <c r="H23" s="59"/>
    </row>
    <row r="24" spans="1:8" ht="48" customHeight="1">
      <c r="A24" s="59"/>
      <c r="B24" s="59"/>
      <c r="C24" s="59"/>
      <c r="D24" s="59"/>
      <c r="E24" s="59"/>
      <c r="F24" s="59"/>
      <c r="G24" s="59"/>
      <c r="H24" s="59"/>
    </row>
    <row r="25" spans="1:8" ht="48" customHeight="1">
      <c r="A25" s="59"/>
      <c r="B25" s="59"/>
      <c r="C25" s="59"/>
      <c r="D25" s="59"/>
      <c r="E25" s="59"/>
      <c r="F25" s="59"/>
      <c r="G25" s="59"/>
      <c r="H25" s="59"/>
    </row>
    <row r="26" spans="1:8" ht="48" customHeight="1">
      <c r="A26" s="59"/>
      <c r="B26" s="59"/>
      <c r="C26" s="59"/>
      <c r="D26" s="59"/>
      <c r="E26" s="59"/>
      <c r="F26" s="59"/>
      <c r="G26" s="59"/>
      <c r="H26" s="59"/>
    </row>
    <row r="27" spans="1:8" ht="48" customHeight="1">
      <c r="A27" s="59"/>
      <c r="B27" s="59"/>
      <c r="C27" s="59"/>
      <c r="D27" s="59"/>
      <c r="E27" s="59"/>
      <c r="F27" s="59"/>
      <c r="G27" s="59"/>
      <c r="H27" s="59"/>
    </row>
    <row r="28" spans="1:8" ht="48" customHeight="1">
      <c r="A28" s="59"/>
      <c r="B28" s="59"/>
      <c r="C28" s="59"/>
      <c r="D28" s="59"/>
      <c r="E28" s="59"/>
      <c r="F28" s="59"/>
      <c r="G28" s="59"/>
      <c r="H28" s="59"/>
    </row>
    <row r="29" spans="1:8" ht="48" customHeight="1">
      <c r="A29" s="59"/>
      <c r="B29" s="59"/>
      <c r="C29" s="59"/>
      <c r="D29" s="59"/>
      <c r="E29" s="59"/>
      <c r="F29" s="59"/>
      <c r="G29" s="59"/>
      <c r="H29" s="59"/>
    </row>
    <row r="30" spans="1:8" ht="48" customHeight="1">
      <c r="A30" s="59"/>
      <c r="B30" s="59"/>
      <c r="C30" s="59"/>
      <c r="D30" s="59"/>
      <c r="E30" s="59"/>
      <c r="F30" s="59"/>
      <c r="G30" s="59"/>
      <c r="H30" s="59"/>
    </row>
    <row r="31" spans="1:8" ht="48" customHeight="1">
      <c r="A31" s="59"/>
      <c r="B31" s="59"/>
      <c r="C31" s="59"/>
      <c r="D31" s="59"/>
      <c r="E31" s="59"/>
      <c r="F31" s="59"/>
      <c r="G31" s="59"/>
      <c r="H31" s="59"/>
    </row>
    <row r="32" spans="1:8" ht="48" customHeight="1">
      <c r="A32" s="59"/>
      <c r="B32" s="59"/>
      <c r="C32" s="59"/>
      <c r="D32" s="59"/>
      <c r="E32" s="59"/>
      <c r="F32" s="59"/>
      <c r="G32" s="59"/>
      <c r="H32" s="59"/>
    </row>
    <row r="33" spans="1:8" ht="48" customHeight="1">
      <c r="A33" s="59"/>
      <c r="B33" s="59"/>
      <c r="C33" s="59"/>
      <c r="D33" s="59"/>
      <c r="E33" s="59"/>
      <c r="F33" s="59"/>
      <c r="G33" s="59"/>
      <c r="H33" s="59"/>
    </row>
    <row r="34" spans="1:8" ht="48" customHeight="1">
      <c r="A34" s="59"/>
      <c r="B34" s="59"/>
      <c r="C34" s="59"/>
      <c r="D34" s="59"/>
      <c r="E34" s="59"/>
      <c r="F34" s="59"/>
      <c r="G34" s="59"/>
      <c r="H34" s="59"/>
    </row>
    <row r="35" spans="1:8" ht="48" customHeight="1">
      <c r="A35" s="59"/>
      <c r="B35" s="59"/>
      <c r="C35" s="59"/>
      <c r="D35" s="59"/>
      <c r="E35" s="59"/>
      <c r="F35" s="59"/>
      <c r="G35" s="59"/>
      <c r="H35" s="59"/>
    </row>
    <row r="36" spans="1:8" ht="48" customHeight="1">
      <c r="A36" s="59"/>
      <c r="B36" s="59"/>
      <c r="C36" s="59"/>
      <c r="D36" s="59"/>
      <c r="E36" s="59"/>
      <c r="F36" s="59"/>
      <c r="G36" s="59"/>
      <c r="H36" s="59"/>
    </row>
    <row r="37" spans="1:8" ht="48" customHeight="1">
      <c r="A37" s="59"/>
      <c r="B37" s="59"/>
      <c r="C37" s="59"/>
      <c r="D37" s="59"/>
      <c r="E37" s="59"/>
      <c r="F37" s="59"/>
      <c r="G37" s="59"/>
      <c r="H37" s="59"/>
    </row>
    <row r="38" spans="1:8" ht="48" customHeight="1">
      <c r="A38" s="59"/>
      <c r="B38" s="59"/>
      <c r="C38" s="59"/>
      <c r="D38" s="59"/>
      <c r="E38" s="59"/>
      <c r="F38" s="59"/>
      <c r="G38" s="59"/>
      <c r="H38" s="59"/>
    </row>
    <row r="39" spans="1:8" ht="48" customHeight="1">
      <c r="A39" s="59"/>
      <c r="B39" s="59"/>
      <c r="C39" s="59"/>
      <c r="D39" s="59"/>
      <c r="E39" s="59"/>
      <c r="F39" s="59"/>
      <c r="G39" s="59"/>
      <c r="H39" s="59"/>
    </row>
    <row r="40" spans="1:8" ht="48" customHeight="1">
      <c r="A40" s="59"/>
      <c r="B40" s="59"/>
      <c r="C40" s="59"/>
      <c r="D40" s="59"/>
      <c r="E40" s="59"/>
      <c r="F40" s="59"/>
      <c r="G40" s="59"/>
      <c r="H40" s="59"/>
    </row>
    <row r="41" spans="1:8" ht="48" customHeight="1">
      <c r="A41" s="59"/>
      <c r="B41" s="59"/>
      <c r="C41" s="59"/>
      <c r="D41" s="59"/>
      <c r="E41" s="59"/>
      <c r="F41" s="59"/>
      <c r="G41" s="59"/>
      <c r="H41" s="59"/>
    </row>
    <row r="42" spans="1:8" ht="48" customHeight="1">
      <c r="A42" s="59"/>
      <c r="B42" s="59"/>
      <c r="C42" s="59"/>
      <c r="D42" s="59"/>
      <c r="E42" s="59"/>
      <c r="F42" s="59"/>
      <c r="G42" s="59"/>
      <c r="H42" s="59"/>
    </row>
    <row r="43" spans="1:8" ht="48" customHeight="1">
      <c r="A43" s="59"/>
      <c r="B43" s="59"/>
      <c r="C43" s="59"/>
      <c r="D43" s="59"/>
      <c r="E43" s="59"/>
      <c r="F43" s="59"/>
      <c r="G43" s="59"/>
      <c r="H43" s="59"/>
    </row>
  </sheetData>
  <phoneticPr fontId="10"/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C3CD-3805-5147-850D-67514B69E5DB}">
  <sheetPr>
    <tabColor theme="6" tint="0.79998168889431442"/>
    <outlinePr summaryBelow="0" summaryRight="0"/>
  </sheetPr>
  <dimension ref="A1:K63"/>
  <sheetViews>
    <sheetView tabSelected="1" zoomScale="125" zoomScaleNormal="125" workbookViewId="0">
      <pane ySplit="1" topLeftCell="A2" activePane="bottomLeft" state="frozen"/>
      <selection sqref="A1:G1048576"/>
      <selection pane="bottomLeft" activeCell="A2" sqref="A2:A24"/>
    </sheetView>
  </sheetViews>
  <sheetFormatPr baseColWidth="10" defaultColWidth="12.6640625" defaultRowHeight="15" customHeight="1"/>
  <cols>
    <col min="1" max="3" width="15.6640625" bestFit="1" customWidth="1"/>
    <col min="4" max="11" width="9.6640625" customWidth="1"/>
  </cols>
  <sheetData>
    <row r="1" spans="1:11" ht="15.75" customHeight="1">
      <c r="A1" s="1" t="s">
        <v>87</v>
      </c>
      <c r="B1" s="1" t="s">
        <v>66</v>
      </c>
      <c r="C1" s="4" t="s">
        <v>67</v>
      </c>
      <c r="D1" s="5"/>
      <c r="E1" s="1" t="s">
        <v>87</v>
      </c>
      <c r="F1" s="1" t="s">
        <v>66</v>
      </c>
      <c r="G1" s="4" t="s">
        <v>67</v>
      </c>
      <c r="H1" s="5"/>
      <c r="I1" s="5"/>
      <c r="J1" s="5"/>
      <c r="K1" s="5"/>
    </row>
    <row r="2" spans="1:11" ht="14">
      <c r="A2" s="6" t="s">
        <v>105</v>
      </c>
      <c r="B2" s="9" t="s">
        <v>89</v>
      </c>
      <c r="C2" s="10" t="s">
        <v>21</v>
      </c>
      <c r="D2" s="12"/>
      <c r="E2" s="6" t="s">
        <v>18</v>
      </c>
      <c r="F2" s="9" t="s">
        <v>68</v>
      </c>
      <c r="G2" s="10" t="s">
        <v>21</v>
      </c>
      <c r="H2" s="12"/>
      <c r="I2" s="12"/>
      <c r="J2" s="12"/>
      <c r="K2" s="12"/>
    </row>
    <row r="3" spans="1:11" ht="14">
      <c r="A3" s="6" t="s">
        <v>105</v>
      </c>
      <c r="B3" s="9" t="s">
        <v>69</v>
      </c>
      <c r="C3" s="10" t="s">
        <v>28</v>
      </c>
      <c r="D3" s="12"/>
      <c r="E3" s="6" t="s">
        <v>18</v>
      </c>
      <c r="F3" s="9" t="s">
        <v>69</v>
      </c>
      <c r="G3" s="10" t="s">
        <v>28</v>
      </c>
      <c r="H3" s="12"/>
      <c r="I3" s="12"/>
      <c r="J3" s="12"/>
      <c r="K3" s="12"/>
    </row>
    <row r="4" spans="1:11" ht="14">
      <c r="A4" s="6" t="s">
        <v>105</v>
      </c>
      <c r="B4" s="9" t="s">
        <v>70</v>
      </c>
      <c r="C4" s="10" t="s">
        <v>29</v>
      </c>
      <c r="D4" s="12"/>
      <c r="E4" s="6" t="s">
        <v>18</v>
      </c>
      <c r="F4" s="9" t="s">
        <v>70</v>
      </c>
      <c r="G4" s="10" t="s">
        <v>29</v>
      </c>
      <c r="H4" s="12"/>
      <c r="I4" s="12"/>
      <c r="J4" s="12"/>
      <c r="K4" s="12"/>
    </row>
    <row r="5" spans="1:11" ht="14">
      <c r="A5" s="6" t="s">
        <v>105</v>
      </c>
      <c r="B5" s="9" t="s">
        <v>71</v>
      </c>
      <c r="C5" s="10" t="s">
        <v>30</v>
      </c>
      <c r="D5" s="12"/>
      <c r="E5" s="6" t="s">
        <v>18</v>
      </c>
      <c r="F5" s="9" t="s">
        <v>71</v>
      </c>
      <c r="G5" s="10" t="s">
        <v>30</v>
      </c>
      <c r="H5" s="12"/>
      <c r="I5" s="12"/>
      <c r="J5" s="12"/>
      <c r="K5" s="12"/>
    </row>
    <row r="6" spans="1:11" ht="14">
      <c r="A6" s="6" t="s">
        <v>105</v>
      </c>
      <c r="B6" s="13" t="s">
        <v>71</v>
      </c>
      <c r="C6" s="10" t="s">
        <v>31</v>
      </c>
      <c r="D6" s="12"/>
      <c r="E6" s="6" t="s">
        <v>18</v>
      </c>
      <c r="F6" s="13" t="s">
        <v>71</v>
      </c>
      <c r="G6" s="10" t="s">
        <v>31</v>
      </c>
      <c r="H6" s="12"/>
      <c r="I6" s="12"/>
      <c r="J6" s="12"/>
      <c r="K6" s="12"/>
    </row>
    <row r="7" spans="1:11" ht="14">
      <c r="A7" s="6" t="s">
        <v>105</v>
      </c>
      <c r="B7" s="9" t="s">
        <v>72</v>
      </c>
      <c r="C7" s="10" t="s">
        <v>32</v>
      </c>
      <c r="D7" s="12"/>
      <c r="E7" s="6" t="s">
        <v>18</v>
      </c>
      <c r="F7" s="9" t="s">
        <v>72</v>
      </c>
      <c r="G7" s="10" t="s">
        <v>32</v>
      </c>
      <c r="H7" s="12"/>
      <c r="I7" s="12"/>
      <c r="J7" s="12"/>
      <c r="K7" s="12"/>
    </row>
    <row r="8" spans="1:11" ht="14">
      <c r="A8" s="6" t="s">
        <v>105</v>
      </c>
      <c r="B8" s="9" t="s">
        <v>73</v>
      </c>
      <c r="C8" s="10" t="s">
        <v>33</v>
      </c>
      <c r="D8" s="12"/>
      <c r="E8" s="6" t="s">
        <v>18</v>
      </c>
      <c r="F8" s="9" t="s">
        <v>73</v>
      </c>
      <c r="G8" s="10" t="s">
        <v>33</v>
      </c>
      <c r="H8" s="12"/>
      <c r="I8" s="12"/>
      <c r="J8" s="12"/>
      <c r="K8" s="12"/>
    </row>
    <row r="9" spans="1:11" ht="14">
      <c r="A9" s="6" t="s">
        <v>105</v>
      </c>
      <c r="B9" s="9" t="s">
        <v>74</v>
      </c>
      <c r="C9" s="10" t="s">
        <v>34</v>
      </c>
      <c r="D9" s="12"/>
      <c r="E9" s="6" t="s">
        <v>18</v>
      </c>
      <c r="F9" s="9" t="s">
        <v>74</v>
      </c>
      <c r="G9" s="10" t="s">
        <v>34</v>
      </c>
      <c r="H9" s="12"/>
      <c r="I9" s="12"/>
      <c r="J9" s="12"/>
      <c r="K9" s="12"/>
    </row>
    <row r="10" spans="1:11" ht="14">
      <c r="A10" s="15" t="s">
        <v>106</v>
      </c>
      <c r="B10" s="18" t="s">
        <v>75</v>
      </c>
      <c r="C10" s="19" t="s">
        <v>36</v>
      </c>
      <c r="D10" s="21"/>
      <c r="E10" s="15" t="s">
        <v>35</v>
      </c>
      <c r="F10" s="18" t="s">
        <v>75</v>
      </c>
      <c r="G10" s="19" t="s">
        <v>36</v>
      </c>
      <c r="H10" s="21"/>
      <c r="I10" s="21"/>
      <c r="J10" s="21"/>
      <c r="K10" s="21"/>
    </row>
    <row r="11" spans="1:11" ht="14">
      <c r="A11" s="15" t="s">
        <v>106</v>
      </c>
      <c r="B11" s="18" t="s">
        <v>76</v>
      </c>
      <c r="C11" s="19" t="s">
        <v>38</v>
      </c>
      <c r="D11" s="21"/>
      <c r="E11" s="15" t="s">
        <v>35</v>
      </c>
      <c r="F11" s="18" t="s">
        <v>76</v>
      </c>
      <c r="G11" s="19" t="s">
        <v>38</v>
      </c>
      <c r="H11" s="21"/>
      <c r="I11" s="21"/>
      <c r="J11" s="21"/>
      <c r="K11" s="21"/>
    </row>
    <row r="12" spans="1:11" ht="14">
      <c r="A12" s="15" t="s">
        <v>106</v>
      </c>
      <c r="B12" s="18" t="s">
        <v>77</v>
      </c>
      <c r="C12" s="19" t="s">
        <v>39</v>
      </c>
      <c r="D12" s="21"/>
      <c r="E12" s="15" t="s">
        <v>35</v>
      </c>
      <c r="F12" s="18" t="s">
        <v>77</v>
      </c>
      <c r="G12" s="19" t="s">
        <v>39</v>
      </c>
      <c r="H12" s="21"/>
      <c r="I12" s="21"/>
      <c r="J12" s="21"/>
      <c r="K12" s="21"/>
    </row>
    <row r="13" spans="1:11" ht="14">
      <c r="A13" s="15" t="s">
        <v>106</v>
      </c>
      <c r="B13" s="18" t="s">
        <v>78</v>
      </c>
      <c r="C13" s="19" t="s">
        <v>40</v>
      </c>
      <c r="D13" s="21"/>
      <c r="E13" s="15" t="s">
        <v>35</v>
      </c>
      <c r="F13" s="18" t="s">
        <v>78</v>
      </c>
      <c r="G13" s="19" t="s">
        <v>40</v>
      </c>
      <c r="H13" s="21"/>
      <c r="I13" s="21"/>
      <c r="J13" s="21"/>
      <c r="K13" s="21"/>
    </row>
    <row r="14" spans="1:11" ht="14">
      <c r="A14" s="15" t="s">
        <v>106</v>
      </c>
      <c r="B14" s="18" t="s">
        <v>79</v>
      </c>
      <c r="C14" s="19" t="s">
        <v>41</v>
      </c>
      <c r="D14" s="21"/>
      <c r="E14" s="15" t="s">
        <v>35</v>
      </c>
      <c r="F14" s="18" t="s">
        <v>79</v>
      </c>
      <c r="G14" s="19" t="s">
        <v>41</v>
      </c>
      <c r="H14" s="21"/>
      <c r="I14" s="21"/>
      <c r="J14" s="21"/>
      <c r="K14" s="21"/>
    </row>
    <row r="15" spans="1:11" ht="14">
      <c r="A15" s="15" t="s">
        <v>106</v>
      </c>
      <c r="B15" s="18" t="s">
        <v>80</v>
      </c>
      <c r="C15" s="19" t="s">
        <v>42</v>
      </c>
      <c r="D15" s="22"/>
      <c r="E15" s="15" t="s">
        <v>35</v>
      </c>
      <c r="F15" s="18" t="s">
        <v>80</v>
      </c>
      <c r="G15" s="19" t="s">
        <v>42</v>
      </c>
      <c r="H15" s="21"/>
      <c r="I15" s="21"/>
      <c r="J15" s="21"/>
      <c r="K15" s="21"/>
    </row>
    <row r="16" spans="1:11" ht="14">
      <c r="A16" s="23" t="s">
        <v>107</v>
      </c>
      <c r="B16" s="26" t="s">
        <v>63</v>
      </c>
      <c r="C16" s="27" t="s">
        <v>44</v>
      </c>
      <c r="D16" s="30"/>
      <c r="E16" s="23" t="s">
        <v>43</v>
      </c>
      <c r="F16" s="26" t="s">
        <v>63</v>
      </c>
      <c r="G16" s="27" t="s">
        <v>44</v>
      </c>
      <c r="H16" s="30"/>
      <c r="I16" s="30"/>
      <c r="J16" s="30"/>
      <c r="K16" s="30"/>
    </row>
    <row r="17" spans="1:11" ht="14">
      <c r="A17" s="23" t="s">
        <v>107</v>
      </c>
      <c r="B17" s="62" t="s">
        <v>63</v>
      </c>
      <c r="C17" s="27" t="s">
        <v>46</v>
      </c>
      <c r="D17" s="30"/>
      <c r="E17" s="23" t="s">
        <v>43</v>
      </c>
      <c r="F17" s="62" t="s">
        <v>63</v>
      </c>
      <c r="G17" s="27" t="s">
        <v>46</v>
      </c>
      <c r="H17" s="29"/>
      <c r="I17" s="29"/>
      <c r="J17" s="29"/>
      <c r="K17" s="29"/>
    </row>
    <row r="18" spans="1:11" ht="14">
      <c r="A18" s="32" t="s">
        <v>108</v>
      </c>
      <c r="B18" s="35" t="s">
        <v>81</v>
      </c>
      <c r="C18" s="36" t="s">
        <v>48</v>
      </c>
      <c r="D18" s="39"/>
      <c r="E18" s="32" t="s">
        <v>47</v>
      </c>
      <c r="F18" s="35" t="s">
        <v>81</v>
      </c>
      <c r="G18" s="36" t="s">
        <v>48</v>
      </c>
      <c r="H18" s="38"/>
      <c r="I18" s="38"/>
      <c r="J18" s="38"/>
      <c r="K18" s="38"/>
    </row>
    <row r="19" spans="1:11" ht="14">
      <c r="A19" s="32" t="s">
        <v>108</v>
      </c>
      <c r="B19" s="35" t="s">
        <v>82</v>
      </c>
      <c r="C19" s="36" t="s">
        <v>49</v>
      </c>
      <c r="D19" s="39"/>
      <c r="E19" s="32" t="s">
        <v>47</v>
      </c>
      <c r="F19" s="35" t="s">
        <v>82</v>
      </c>
      <c r="G19" s="36" t="s">
        <v>49</v>
      </c>
      <c r="H19" s="38"/>
      <c r="I19" s="38"/>
      <c r="J19" s="38"/>
      <c r="K19" s="38"/>
    </row>
    <row r="20" spans="1:11" ht="14">
      <c r="A20" s="32" t="s">
        <v>108</v>
      </c>
      <c r="B20" s="35" t="s">
        <v>82</v>
      </c>
      <c r="C20" s="36" t="s">
        <v>50</v>
      </c>
      <c r="D20" s="39"/>
      <c r="E20" s="32" t="s">
        <v>47</v>
      </c>
      <c r="F20" s="35" t="s">
        <v>82</v>
      </c>
      <c r="G20" s="36" t="s">
        <v>50</v>
      </c>
      <c r="H20" s="38"/>
      <c r="I20" s="38"/>
      <c r="J20" s="38"/>
      <c r="K20" s="38"/>
    </row>
    <row r="21" spans="1:11" ht="14">
      <c r="A21" s="40" t="s">
        <v>109</v>
      </c>
      <c r="B21" s="43" t="s">
        <v>83</v>
      </c>
      <c r="C21" s="44" t="s">
        <v>53</v>
      </c>
      <c r="D21" s="46"/>
      <c r="E21" s="40" t="s">
        <v>51</v>
      </c>
      <c r="F21" s="43" t="s">
        <v>83</v>
      </c>
      <c r="G21" s="44" t="s">
        <v>53</v>
      </c>
      <c r="H21" s="46"/>
      <c r="I21" s="46"/>
      <c r="J21" s="46"/>
      <c r="K21" s="46"/>
    </row>
    <row r="22" spans="1:11" ht="14">
      <c r="A22" s="40" t="s">
        <v>109</v>
      </c>
      <c r="B22" s="43" t="s">
        <v>83</v>
      </c>
      <c r="C22" s="44" t="s">
        <v>54</v>
      </c>
      <c r="D22" s="46"/>
      <c r="E22" s="40" t="s">
        <v>51</v>
      </c>
      <c r="F22" s="43" t="s">
        <v>83</v>
      </c>
      <c r="G22" s="44" t="s">
        <v>54</v>
      </c>
      <c r="H22" s="46"/>
      <c r="I22" s="46"/>
      <c r="J22" s="46"/>
      <c r="K22" s="46"/>
    </row>
    <row r="23" spans="1:11" ht="14">
      <c r="A23" s="47" t="s">
        <v>110</v>
      </c>
      <c r="B23" s="50" t="s">
        <v>84</v>
      </c>
      <c r="C23" s="51" t="s">
        <v>57</v>
      </c>
      <c r="D23" s="53"/>
      <c r="E23" s="47" t="s">
        <v>55</v>
      </c>
      <c r="F23" s="50" t="s">
        <v>84</v>
      </c>
      <c r="G23" s="51" t="s">
        <v>57</v>
      </c>
      <c r="H23" s="53"/>
      <c r="I23" s="53"/>
      <c r="J23" s="53"/>
      <c r="K23" s="53"/>
    </row>
    <row r="24" spans="1:11" ht="14">
      <c r="A24" s="47" t="s">
        <v>110</v>
      </c>
      <c r="B24" s="50" t="s">
        <v>84</v>
      </c>
      <c r="C24" s="51" t="s">
        <v>58</v>
      </c>
      <c r="D24" s="53"/>
      <c r="E24" s="47" t="s">
        <v>55</v>
      </c>
      <c r="F24" s="50" t="s">
        <v>84</v>
      </c>
      <c r="G24" s="51" t="s">
        <v>58</v>
      </c>
      <c r="H24" s="53"/>
      <c r="I24" s="53"/>
      <c r="J24" s="53"/>
      <c r="K24" s="53"/>
    </row>
    <row r="25" spans="1:11" ht="15.75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</row>
    <row r="26" spans="1:11" ht="15.7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</row>
    <row r="27" spans="1:11" ht="15.7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</row>
    <row r="28" spans="1:11" ht="15.7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</row>
    <row r="29" spans="1:11" ht="15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</row>
    <row r="30" spans="1:11" ht="15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</row>
    <row r="31" spans="1:11" ht="15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</row>
    <row r="32" spans="1:11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</row>
    <row r="33" spans="1:11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</row>
    <row r="34" spans="1:11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</row>
    <row r="35" spans="1:11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</row>
    <row r="36" spans="1:11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</row>
    <row r="37" spans="1:11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</row>
    <row r="38" spans="1:11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</row>
    <row r="39" spans="1:11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</row>
    <row r="40" spans="1:11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</row>
    <row r="41" spans="1:11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</row>
    <row r="42" spans="1:11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</row>
    <row r="43" spans="1:11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</row>
    <row r="44" spans="1:11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</row>
    <row r="45" spans="1:11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</row>
    <row r="46" spans="1:11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</row>
    <row r="47" spans="1:11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</row>
    <row r="48" spans="1:11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</row>
    <row r="49" spans="1:11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</row>
    <row r="50" spans="1:11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</row>
    <row r="51" spans="1:1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</row>
    <row r="52" spans="1:11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</row>
    <row r="53" spans="1:11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</row>
    <row r="54" spans="1:11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</row>
    <row r="55" spans="1:11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</row>
    <row r="56" spans="1:11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</row>
    <row r="57" spans="1:11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</row>
    <row r="58" spans="1:11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</row>
    <row r="59" spans="1:11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</row>
    <row r="60" spans="1:11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</row>
    <row r="61" spans="1:1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</row>
    <row r="62" spans="1:11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</row>
    <row r="63" spans="1:11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</row>
  </sheetData>
  <phoneticPr fontId="10"/>
  <pageMargins left="0.7" right="0.7" top="0.75" bottom="0.75" header="0" footer="0"/>
  <pageSetup orientation="landscape"/>
  <ignoredErrors>
    <ignoredError sqref="F2:F24" twoDigitTextYear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D124-B98A-AC49-B39A-E788A96D5E18}">
  <sheetPr>
    <tabColor theme="6" tint="0.79998168889431442"/>
    <outlinePr summaryBelow="0" summaryRight="0"/>
  </sheetPr>
  <dimension ref="A1:H34"/>
  <sheetViews>
    <sheetView workbookViewId="0">
      <pane ySplit="2" topLeftCell="A3" activePane="bottomLeft" state="frozen"/>
      <selection sqref="A1:G1048576"/>
      <selection pane="bottomLeft" activeCell="B19" sqref="B19"/>
    </sheetView>
  </sheetViews>
  <sheetFormatPr baseColWidth="10" defaultColWidth="12.6640625" defaultRowHeight="15" customHeight="1"/>
  <cols>
    <col min="1" max="2" width="23.83203125" bestFit="1" customWidth="1"/>
    <col min="3" max="3" width="12" bestFit="1" customWidth="1"/>
    <col min="4" max="4" width="19" bestFit="1" customWidth="1"/>
    <col min="5" max="5" width="12.33203125" bestFit="1" customWidth="1"/>
    <col min="6" max="6" width="11.6640625" bestFit="1" customWidth="1"/>
    <col min="7" max="7" width="10.33203125" bestFit="1" customWidth="1"/>
    <col min="8" max="8" width="14.1640625" bestFit="1" customWidth="1"/>
  </cols>
  <sheetData>
    <row r="1" spans="1:8" s="65" customFormat="1" ht="15" customHeight="1">
      <c r="A1" s="65" t="s">
        <v>85</v>
      </c>
      <c r="B1" s="65" t="s">
        <v>86</v>
      </c>
    </row>
    <row r="2" spans="1:8" ht="15.75" customHeight="1">
      <c r="A2" s="4" t="s">
        <v>10</v>
      </c>
      <c r="B2" s="11" t="s">
        <v>64</v>
      </c>
      <c r="C2" s="59"/>
      <c r="D2" s="59"/>
      <c r="E2" s="59"/>
      <c r="F2" s="59"/>
      <c r="G2" s="60"/>
      <c r="H2" s="59"/>
    </row>
    <row r="3" spans="1:8" ht="15.75" customHeight="1">
      <c r="A3" s="4" t="s">
        <v>9</v>
      </c>
      <c r="B3" s="11" t="s">
        <v>20</v>
      </c>
      <c r="C3" s="59"/>
      <c r="D3" s="59"/>
      <c r="E3" s="59"/>
      <c r="F3" s="59"/>
      <c r="G3" s="60"/>
      <c r="H3" s="59"/>
    </row>
    <row r="4" spans="1:8" ht="15.75" customHeight="1">
      <c r="A4" s="4" t="s">
        <v>12</v>
      </c>
      <c r="B4" s="10" t="s">
        <v>22</v>
      </c>
      <c r="C4" s="59"/>
      <c r="D4" s="59"/>
      <c r="E4" s="59"/>
      <c r="F4" s="59"/>
      <c r="G4" s="60"/>
      <c r="H4" s="59"/>
    </row>
    <row r="5" spans="1:8" ht="15.75" customHeight="1">
      <c r="A5" s="4" t="s">
        <v>13</v>
      </c>
      <c r="B5" s="12" t="s">
        <v>23</v>
      </c>
      <c r="C5" s="59"/>
      <c r="D5" s="59"/>
      <c r="E5" s="59"/>
      <c r="F5" s="59"/>
      <c r="G5" s="60"/>
      <c r="H5" s="59"/>
    </row>
    <row r="6" spans="1:8" ht="15.75" customHeight="1">
      <c r="A6" s="4" t="s">
        <v>14</v>
      </c>
      <c r="B6" s="12" t="s">
        <v>24</v>
      </c>
      <c r="C6" s="59"/>
      <c r="D6" s="59"/>
      <c r="E6" s="59"/>
      <c r="F6" s="59"/>
      <c r="G6" s="60"/>
      <c r="H6" s="59"/>
    </row>
    <row r="7" spans="1:8" ht="15.75" customHeight="1">
      <c r="A7" s="4" t="s">
        <v>15</v>
      </c>
      <c r="B7" s="11" t="s">
        <v>25</v>
      </c>
      <c r="C7" s="59"/>
      <c r="D7" s="59"/>
      <c r="E7" s="59"/>
      <c r="F7" s="59"/>
      <c r="G7" s="60"/>
      <c r="H7" s="59"/>
    </row>
    <row r="8" spans="1:8" ht="15.75" customHeight="1">
      <c r="A8" s="4" t="s">
        <v>16</v>
      </c>
      <c r="B8" s="11" t="s">
        <v>26</v>
      </c>
      <c r="C8" s="59"/>
      <c r="D8" s="59"/>
      <c r="E8" s="59"/>
      <c r="F8" s="59"/>
      <c r="G8" s="60"/>
      <c r="H8" s="59"/>
    </row>
    <row r="9" spans="1:8" ht="15.75" customHeight="1">
      <c r="A9" s="4" t="s">
        <v>17</v>
      </c>
      <c r="B9" s="11" t="s">
        <v>27</v>
      </c>
      <c r="C9" s="59"/>
      <c r="D9" s="59"/>
      <c r="E9" s="59"/>
      <c r="F9" s="59"/>
      <c r="G9" s="60"/>
      <c r="H9" s="59"/>
    </row>
    <row r="10" spans="1:8" ht="15.75" customHeight="1">
      <c r="A10" s="59"/>
      <c r="B10" s="59"/>
      <c r="C10" s="59"/>
      <c r="D10" s="59"/>
      <c r="E10" s="59"/>
      <c r="F10" s="59"/>
      <c r="G10" s="60"/>
      <c r="H10" s="59"/>
    </row>
    <row r="11" spans="1:8" ht="15.75" customHeight="1">
      <c r="A11" s="59"/>
      <c r="B11" s="59"/>
      <c r="C11" s="59"/>
      <c r="D11" s="59"/>
      <c r="E11" s="59"/>
      <c r="F11" s="59"/>
      <c r="G11" s="60"/>
      <c r="H11" s="59"/>
    </row>
    <row r="12" spans="1:8" ht="15.75" customHeight="1">
      <c r="A12" s="59"/>
      <c r="B12" s="59"/>
      <c r="C12" s="59"/>
      <c r="D12" s="59"/>
      <c r="E12" s="59"/>
      <c r="F12" s="59"/>
      <c r="G12" s="60"/>
      <c r="H12" s="59"/>
    </row>
    <row r="13" spans="1:8" ht="15.75" customHeight="1">
      <c r="A13" s="59"/>
      <c r="B13" s="59"/>
      <c r="C13" s="59"/>
      <c r="D13" s="59"/>
      <c r="E13" s="59"/>
      <c r="F13" s="59"/>
      <c r="G13" s="60"/>
      <c r="H13" s="59"/>
    </row>
    <row r="14" spans="1:8" ht="15.75" customHeight="1">
      <c r="A14" s="59"/>
      <c r="B14" s="59"/>
      <c r="C14" s="59"/>
      <c r="D14" s="59"/>
      <c r="E14" s="59"/>
      <c r="F14" s="59"/>
      <c r="G14" s="60"/>
      <c r="H14" s="59"/>
    </row>
    <row r="15" spans="1:8" ht="15.75" customHeight="1">
      <c r="A15" s="59"/>
      <c r="B15" s="59"/>
      <c r="C15" s="59"/>
      <c r="D15" s="59"/>
      <c r="E15" s="59"/>
      <c r="F15" s="59"/>
      <c r="G15" s="60"/>
      <c r="H15" s="59"/>
    </row>
    <row r="16" spans="1:8" ht="15.75" customHeight="1">
      <c r="A16" s="59"/>
      <c r="B16" s="59"/>
      <c r="C16" s="59"/>
      <c r="D16" s="59"/>
      <c r="E16" s="59"/>
      <c r="F16" s="59"/>
      <c r="G16" s="60"/>
      <c r="H16" s="59"/>
    </row>
    <row r="17" spans="1:8" ht="15.75" customHeight="1">
      <c r="A17" s="59"/>
      <c r="B17" s="59"/>
      <c r="C17" s="59"/>
      <c r="D17" s="59"/>
      <c r="E17" s="59"/>
      <c r="F17" s="59"/>
      <c r="G17" s="60"/>
      <c r="H17" s="59"/>
    </row>
    <row r="18" spans="1:8" ht="15.75" customHeight="1">
      <c r="A18" s="59"/>
      <c r="B18" s="59"/>
      <c r="C18" s="59"/>
      <c r="D18" s="59"/>
      <c r="E18" s="59"/>
      <c r="F18" s="59"/>
      <c r="G18" s="60"/>
      <c r="H18" s="59"/>
    </row>
    <row r="19" spans="1:8" ht="15.75" customHeight="1">
      <c r="A19" s="59"/>
      <c r="B19" s="59"/>
      <c r="C19" s="59"/>
      <c r="D19" s="59"/>
      <c r="E19" s="59"/>
      <c r="F19" s="59"/>
      <c r="G19" s="60"/>
      <c r="H19" s="59"/>
    </row>
    <row r="20" spans="1:8" ht="15.75" customHeight="1">
      <c r="A20" s="59"/>
      <c r="B20" s="59"/>
      <c r="C20" s="59"/>
      <c r="D20" s="59"/>
      <c r="E20" s="59"/>
      <c r="F20" s="59"/>
      <c r="G20" s="60"/>
      <c r="H20" s="59"/>
    </row>
    <row r="21" spans="1:8" ht="15.75" customHeight="1">
      <c r="A21" s="59"/>
      <c r="B21" s="59"/>
      <c r="C21" s="59"/>
      <c r="D21" s="59"/>
      <c r="E21" s="59"/>
      <c r="F21" s="59"/>
      <c r="G21" s="60"/>
      <c r="H21" s="59"/>
    </row>
    <row r="22" spans="1:8" ht="15.75" customHeight="1">
      <c r="A22" s="59"/>
      <c r="B22" s="59"/>
      <c r="C22" s="59"/>
      <c r="D22" s="59"/>
      <c r="E22" s="59"/>
      <c r="F22" s="59"/>
      <c r="G22" s="60"/>
      <c r="H22" s="59"/>
    </row>
    <row r="23" spans="1:8" ht="15.75" customHeight="1">
      <c r="A23" s="59"/>
      <c r="B23" s="59"/>
      <c r="C23" s="59"/>
      <c r="D23" s="59"/>
      <c r="E23" s="59"/>
      <c r="F23" s="59"/>
      <c r="G23" s="60"/>
      <c r="H23" s="59"/>
    </row>
    <row r="24" spans="1:8" ht="15.75" customHeight="1">
      <c r="A24" s="59"/>
      <c r="B24" s="59"/>
      <c r="C24" s="59"/>
      <c r="D24" s="59"/>
      <c r="E24" s="59"/>
      <c r="F24" s="59"/>
      <c r="G24" s="60"/>
      <c r="H24" s="59"/>
    </row>
    <row r="25" spans="1:8" ht="15.75" customHeight="1">
      <c r="A25" s="59"/>
      <c r="B25" s="59"/>
      <c r="C25" s="59"/>
      <c r="D25" s="59"/>
      <c r="E25" s="59"/>
      <c r="F25" s="59"/>
      <c r="G25" s="60"/>
      <c r="H25" s="59"/>
    </row>
    <row r="26" spans="1:8" ht="15.75" customHeight="1">
      <c r="A26" s="59"/>
      <c r="B26" s="59"/>
      <c r="C26" s="59"/>
      <c r="D26" s="59"/>
      <c r="E26" s="59"/>
      <c r="F26" s="59"/>
      <c r="G26" s="60"/>
      <c r="H26" s="59"/>
    </row>
    <row r="27" spans="1:8" ht="15.75" customHeight="1">
      <c r="A27" s="59"/>
      <c r="B27" s="59"/>
      <c r="C27" s="59"/>
      <c r="D27" s="59"/>
      <c r="E27" s="59"/>
      <c r="F27" s="59"/>
      <c r="G27" s="60"/>
      <c r="H27" s="59"/>
    </row>
    <row r="28" spans="1:8" ht="15.75" customHeight="1">
      <c r="A28" s="59"/>
      <c r="B28" s="59"/>
      <c r="C28" s="59"/>
      <c r="D28" s="59"/>
      <c r="E28" s="59"/>
      <c r="F28" s="59"/>
      <c r="G28" s="60"/>
      <c r="H28" s="59"/>
    </row>
    <row r="29" spans="1:8" ht="15.75" customHeight="1">
      <c r="A29" s="59"/>
      <c r="B29" s="59"/>
      <c r="C29" s="59"/>
      <c r="D29" s="59"/>
      <c r="E29" s="59"/>
      <c r="F29" s="59"/>
      <c r="G29" s="60"/>
      <c r="H29" s="59"/>
    </row>
    <row r="30" spans="1:8" ht="15.75" customHeight="1">
      <c r="A30" s="59"/>
      <c r="B30" s="59"/>
      <c r="C30" s="59"/>
      <c r="D30" s="59"/>
      <c r="E30" s="59"/>
      <c r="F30" s="59"/>
      <c r="G30" s="60"/>
      <c r="H30" s="59"/>
    </row>
    <row r="31" spans="1:8" ht="15.75" customHeight="1">
      <c r="A31" s="59"/>
      <c r="B31" s="59"/>
      <c r="C31" s="59"/>
      <c r="D31" s="59"/>
      <c r="E31" s="59"/>
      <c r="F31" s="59"/>
      <c r="G31" s="60"/>
      <c r="H31" s="59"/>
    </row>
    <row r="32" spans="1:8" ht="15.75" customHeight="1">
      <c r="A32" s="59"/>
      <c r="B32" s="59"/>
      <c r="C32" s="59"/>
      <c r="D32" s="59"/>
      <c r="E32" s="59"/>
      <c r="F32" s="59"/>
      <c r="G32" s="60"/>
      <c r="H32" s="59"/>
    </row>
    <row r="33" spans="1:8" ht="15.75" customHeight="1">
      <c r="A33" s="59"/>
      <c r="B33" s="59"/>
      <c r="C33" s="59"/>
      <c r="D33" s="59"/>
      <c r="E33" s="59"/>
      <c r="F33" s="59"/>
      <c r="G33" s="60"/>
      <c r="H33" s="59"/>
    </row>
    <row r="34" spans="1:8" ht="15.75" customHeight="1">
      <c r="A34" s="59"/>
      <c r="B34" s="59"/>
      <c r="C34" s="59"/>
      <c r="D34" s="59"/>
      <c r="E34" s="59"/>
      <c r="F34" s="59"/>
      <c r="G34" s="60"/>
      <c r="H34" s="59"/>
    </row>
  </sheetData>
  <phoneticPr fontId="10"/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883D-28DD-FF43-8D33-A7E40A33189E}">
  <sheetPr>
    <outlinePr summaryBelow="0" summaryRight="0"/>
  </sheetPr>
  <dimension ref="A1:AC70"/>
  <sheetViews>
    <sheetView workbookViewId="0">
      <pane ySplit="1" topLeftCell="A2" activePane="bottomLeft" state="frozen"/>
      <selection pane="bottomLeft" activeCell="D42" sqref="D42"/>
    </sheetView>
  </sheetViews>
  <sheetFormatPr baseColWidth="10" defaultColWidth="12.6640625" defaultRowHeight="15" customHeight="1"/>
  <cols>
    <col min="1" max="1" width="10.5" customWidth="1"/>
    <col min="2" max="3" width="6.6640625" customWidth="1"/>
    <col min="4" max="6" width="9.6640625" customWidth="1"/>
    <col min="7" max="7" width="15.1640625" customWidth="1"/>
    <col min="8" max="8" width="12.1640625" customWidth="1"/>
    <col min="9" max="9" width="9" customWidth="1"/>
    <col min="10" max="10" width="13.1640625" customWidth="1"/>
    <col min="11" max="11" width="7.6640625" customWidth="1"/>
    <col min="12" max="12" width="23.83203125" bestFit="1" customWidth="1"/>
    <col min="13" max="13" width="12" bestFit="1" customWidth="1"/>
    <col min="14" max="14" width="10.5" customWidth="1"/>
    <col min="15" max="15" width="19" bestFit="1" customWidth="1"/>
    <col min="16" max="16" width="12.33203125" bestFit="1" customWidth="1"/>
    <col min="17" max="17" width="11.6640625" bestFit="1" customWidth="1"/>
    <col min="18" max="18" width="10.33203125" bestFit="1" customWidth="1"/>
    <col min="19" max="19" width="14.1640625" bestFit="1" customWidth="1"/>
    <col min="20" max="29" width="9.6640625" customWidth="1"/>
  </cols>
  <sheetData>
    <row r="1" spans="1:29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62</v>
      </c>
      <c r="I1" s="3" t="s">
        <v>7</v>
      </c>
      <c r="J1" s="3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4">
      <c r="A2" s="6" t="s">
        <v>18</v>
      </c>
      <c r="B2" s="7">
        <v>0.3125</v>
      </c>
      <c r="C2" s="7">
        <v>0.83333333333333337</v>
      </c>
      <c r="D2" s="8">
        <f t="shared" ref="D2:D27" si="0">(E2+F2)/2</f>
        <v>22.5</v>
      </c>
      <c r="E2" s="9">
        <v>19</v>
      </c>
      <c r="F2" s="9">
        <v>26</v>
      </c>
      <c r="G2" s="9" t="s">
        <v>19</v>
      </c>
      <c r="H2" s="9" t="str">
        <f t="shared" ref="H2:H24" si="1">I2&amp;"-"&amp;J2</f>
        <v>49-1</v>
      </c>
      <c r="I2" s="10">
        <v>49</v>
      </c>
      <c r="J2" s="10">
        <v>1</v>
      </c>
      <c r="K2" s="11" t="s">
        <v>20</v>
      </c>
      <c r="L2" s="11" t="s">
        <v>64</v>
      </c>
      <c r="M2" s="10" t="s">
        <v>21</v>
      </c>
      <c r="N2" s="10" t="s">
        <v>22</v>
      </c>
      <c r="O2" s="12" t="s">
        <v>23</v>
      </c>
      <c r="P2" s="12" t="s">
        <v>24</v>
      </c>
      <c r="Q2" s="11" t="s">
        <v>25</v>
      </c>
      <c r="R2" s="11" t="s">
        <v>26</v>
      </c>
      <c r="S2" s="11" t="s">
        <v>27</v>
      </c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29" ht="14">
      <c r="A3" s="6" t="s">
        <v>18</v>
      </c>
      <c r="B3" s="7">
        <v>0.3125</v>
      </c>
      <c r="C3" s="7">
        <v>0.83333333333333337</v>
      </c>
      <c r="D3" s="8">
        <f t="shared" si="0"/>
        <v>22.5</v>
      </c>
      <c r="E3" s="9">
        <v>19</v>
      </c>
      <c r="F3" s="9">
        <v>26</v>
      </c>
      <c r="G3" s="9" t="s">
        <v>19</v>
      </c>
      <c r="H3" s="9" t="str">
        <f t="shared" si="1"/>
        <v>49-2</v>
      </c>
      <c r="I3" s="10">
        <v>49</v>
      </c>
      <c r="J3" s="10">
        <v>2</v>
      </c>
      <c r="K3" s="11" t="s">
        <v>20</v>
      </c>
      <c r="L3" s="11" t="s">
        <v>64</v>
      </c>
      <c r="M3" s="10" t="s">
        <v>28</v>
      </c>
      <c r="N3" s="10" t="s">
        <v>22</v>
      </c>
      <c r="O3" s="12" t="s">
        <v>23</v>
      </c>
      <c r="P3" s="12" t="s">
        <v>24</v>
      </c>
      <c r="Q3" s="11" t="s">
        <v>25</v>
      </c>
      <c r="R3" s="11" t="s">
        <v>26</v>
      </c>
      <c r="S3" s="11" t="s">
        <v>27</v>
      </c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29" ht="14">
      <c r="A4" s="6" t="s">
        <v>18</v>
      </c>
      <c r="B4" s="7">
        <v>0.3125</v>
      </c>
      <c r="C4" s="7">
        <v>0.83333333333333337</v>
      </c>
      <c r="D4" s="8">
        <f t="shared" si="0"/>
        <v>22.5</v>
      </c>
      <c r="E4" s="9">
        <v>19</v>
      </c>
      <c r="F4" s="9">
        <v>26</v>
      </c>
      <c r="G4" s="9" t="s">
        <v>19</v>
      </c>
      <c r="H4" s="9" t="str">
        <f t="shared" si="1"/>
        <v>49-3</v>
      </c>
      <c r="I4" s="10">
        <v>49</v>
      </c>
      <c r="J4" s="10">
        <v>3</v>
      </c>
      <c r="K4" s="11" t="s">
        <v>20</v>
      </c>
      <c r="L4" s="11" t="s">
        <v>64</v>
      </c>
      <c r="M4" s="10" t="s">
        <v>29</v>
      </c>
      <c r="N4" s="10" t="s">
        <v>22</v>
      </c>
      <c r="O4" s="12" t="s">
        <v>23</v>
      </c>
      <c r="P4" s="12" t="s">
        <v>24</v>
      </c>
      <c r="Q4" s="11" t="s">
        <v>25</v>
      </c>
      <c r="R4" s="11" t="s">
        <v>26</v>
      </c>
      <c r="S4" s="11" t="s">
        <v>27</v>
      </c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spans="1:29" ht="14">
      <c r="A5" s="6" t="s">
        <v>18</v>
      </c>
      <c r="B5" s="7">
        <v>0.3125</v>
      </c>
      <c r="C5" s="7">
        <v>0.83333333333333337</v>
      </c>
      <c r="D5" s="8">
        <f t="shared" si="0"/>
        <v>22.5</v>
      </c>
      <c r="E5" s="9">
        <v>19</v>
      </c>
      <c r="F5" s="9">
        <v>26</v>
      </c>
      <c r="G5" s="9" t="s">
        <v>19</v>
      </c>
      <c r="H5" s="9" t="str">
        <f t="shared" si="1"/>
        <v>49-4</v>
      </c>
      <c r="I5" s="10">
        <v>49</v>
      </c>
      <c r="J5" s="10">
        <v>4</v>
      </c>
      <c r="K5" s="11" t="s">
        <v>20</v>
      </c>
      <c r="L5" s="11" t="s">
        <v>64</v>
      </c>
      <c r="M5" s="10" t="s">
        <v>30</v>
      </c>
      <c r="N5" s="10" t="s">
        <v>22</v>
      </c>
      <c r="O5" s="12" t="s">
        <v>23</v>
      </c>
      <c r="P5" s="12" t="s">
        <v>24</v>
      </c>
      <c r="Q5" s="11" t="s">
        <v>25</v>
      </c>
      <c r="R5" s="11" t="s">
        <v>26</v>
      </c>
      <c r="S5" s="11" t="s">
        <v>27</v>
      </c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spans="1:29" ht="14">
      <c r="A6" s="6" t="s">
        <v>18</v>
      </c>
      <c r="B6" s="7">
        <v>0.3125</v>
      </c>
      <c r="C6" s="7">
        <v>0.83333333333333337</v>
      </c>
      <c r="D6" s="8">
        <f t="shared" si="0"/>
        <v>22.5</v>
      </c>
      <c r="E6" s="9">
        <v>19</v>
      </c>
      <c r="F6" s="9">
        <v>26</v>
      </c>
      <c r="G6" s="9" t="s">
        <v>19</v>
      </c>
      <c r="H6" s="13" t="str">
        <f t="shared" si="1"/>
        <v>49-4</v>
      </c>
      <c r="I6" s="14">
        <v>49</v>
      </c>
      <c r="J6" s="14">
        <v>4</v>
      </c>
      <c r="K6" s="11" t="s">
        <v>20</v>
      </c>
      <c r="L6" s="11" t="s">
        <v>64</v>
      </c>
      <c r="M6" s="10" t="s">
        <v>31</v>
      </c>
      <c r="N6" s="10" t="s">
        <v>22</v>
      </c>
      <c r="O6" s="12" t="s">
        <v>23</v>
      </c>
      <c r="P6" s="12" t="s">
        <v>24</v>
      </c>
      <c r="Q6" s="11" t="s">
        <v>25</v>
      </c>
      <c r="R6" s="11" t="s">
        <v>26</v>
      </c>
      <c r="S6" s="11" t="s">
        <v>27</v>
      </c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29" ht="14">
      <c r="A7" s="6" t="s">
        <v>18</v>
      </c>
      <c r="B7" s="7">
        <v>0.3125</v>
      </c>
      <c r="C7" s="7">
        <v>0.83333333333333337</v>
      </c>
      <c r="D7" s="8">
        <f t="shared" si="0"/>
        <v>22.5</v>
      </c>
      <c r="E7" s="9">
        <v>19</v>
      </c>
      <c r="F7" s="9">
        <v>26</v>
      </c>
      <c r="G7" s="9" t="s">
        <v>19</v>
      </c>
      <c r="H7" s="9" t="str">
        <f t="shared" si="1"/>
        <v>49-6</v>
      </c>
      <c r="I7" s="10">
        <v>49</v>
      </c>
      <c r="J7" s="10">
        <v>6</v>
      </c>
      <c r="K7" s="11" t="s">
        <v>20</v>
      </c>
      <c r="L7" s="11" t="s">
        <v>64</v>
      </c>
      <c r="M7" s="10" t="s">
        <v>32</v>
      </c>
      <c r="N7" s="10" t="s">
        <v>22</v>
      </c>
      <c r="O7" s="12" t="s">
        <v>23</v>
      </c>
      <c r="P7" s="12" t="s">
        <v>24</v>
      </c>
      <c r="Q7" s="11" t="s">
        <v>25</v>
      </c>
      <c r="R7" s="11" t="s">
        <v>26</v>
      </c>
      <c r="S7" s="11" t="s">
        <v>27</v>
      </c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 ht="14">
      <c r="A8" s="6" t="s">
        <v>18</v>
      </c>
      <c r="B8" s="7">
        <v>0.3125</v>
      </c>
      <c r="C8" s="7">
        <v>0.83333333333333337</v>
      </c>
      <c r="D8" s="8">
        <f t="shared" si="0"/>
        <v>22.5</v>
      </c>
      <c r="E8" s="9">
        <v>19</v>
      </c>
      <c r="F8" s="9">
        <v>26</v>
      </c>
      <c r="G8" s="9" t="s">
        <v>19</v>
      </c>
      <c r="H8" s="9" t="str">
        <f t="shared" si="1"/>
        <v>49-7</v>
      </c>
      <c r="I8" s="10">
        <v>49</v>
      </c>
      <c r="J8" s="10">
        <v>7</v>
      </c>
      <c r="K8" s="11" t="s">
        <v>20</v>
      </c>
      <c r="L8" s="11" t="s">
        <v>64</v>
      </c>
      <c r="M8" s="10" t="s">
        <v>33</v>
      </c>
      <c r="N8" s="10" t="s">
        <v>22</v>
      </c>
      <c r="O8" s="12" t="s">
        <v>23</v>
      </c>
      <c r="P8" s="12" t="s">
        <v>24</v>
      </c>
      <c r="Q8" s="11" t="s">
        <v>25</v>
      </c>
      <c r="R8" s="11" t="s">
        <v>26</v>
      </c>
      <c r="S8" s="11" t="s">
        <v>27</v>
      </c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ht="14">
      <c r="A9" s="6" t="s">
        <v>18</v>
      </c>
      <c r="B9" s="7">
        <v>0.3125</v>
      </c>
      <c r="C9" s="7">
        <v>0.83333333333333337</v>
      </c>
      <c r="D9" s="8">
        <f t="shared" si="0"/>
        <v>22.5</v>
      </c>
      <c r="E9" s="9">
        <v>19</v>
      </c>
      <c r="F9" s="9">
        <v>26</v>
      </c>
      <c r="G9" s="9" t="s">
        <v>19</v>
      </c>
      <c r="H9" s="9" t="str">
        <f t="shared" si="1"/>
        <v>49-8</v>
      </c>
      <c r="I9" s="10">
        <v>49</v>
      </c>
      <c r="J9" s="10">
        <v>8</v>
      </c>
      <c r="K9" s="11" t="s">
        <v>20</v>
      </c>
      <c r="L9" s="11" t="s">
        <v>64</v>
      </c>
      <c r="M9" s="10" t="s">
        <v>34</v>
      </c>
      <c r="N9" s="10" t="s">
        <v>22</v>
      </c>
      <c r="O9" s="12" t="s">
        <v>23</v>
      </c>
      <c r="P9" s="12" t="s">
        <v>24</v>
      </c>
      <c r="Q9" s="11" t="s">
        <v>25</v>
      </c>
      <c r="R9" s="11" t="s">
        <v>26</v>
      </c>
      <c r="S9" s="11" t="s">
        <v>27</v>
      </c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ht="14">
      <c r="A10" s="15" t="s">
        <v>35</v>
      </c>
      <c r="B10" s="16">
        <v>0.29166666666666669</v>
      </c>
      <c r="C10" s="16">
        <v>0.83333333333333337</v>
      </c>
      <c r="D10" s="17">
        <f t="shared" si="0"/>
        <v>22.5</v>
      </c>
      <c r="E10" s="18">
        <v>19</v>
      </c>
      <c r="F10" s="18">
        <v>26</v>
      </c>
      <c r="G10" s="18" t="s">
        <v>19</v>
      </c>
      <c r="H10" s="18" t="str">
        <f t="shared" si="1"/>
        <v>43-1</v>
      </c>
      <c r="I10" s="19">
        <v>43</v>
      </c>
      <c r="J10" s="19">
        <v>1</v>
      </c>
      <c r="K10" s="20" t="s">
        <v>20</v>
      </c>
      <c r="L10" s="20" t="s">
        <v>64</v>
      </c>
      <c r="M10" s="19" t="s">
        <v>36</v>
      </c>
      <c r="N10" s="19" t="s">
        <v>22</v>
      </c>
      <c r="O10" s="21" t="s">
        <v>23</v>
      </c>
      <c r="P10" s="21" t="s">
        <v>24</v>
      </c>
      <c r="Q10" s="20" t="s">
        <v>25</v>
      </c>
      <c r="R10" s="20" t="s">
        <v>26</v>
      </c>
      <c r="S10" s="20" t="s">
        <v>27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29" ht="14">
      <c r="A11" s="15" t="s">
        <v>35</v>
      </c>
      <c r="B11" s="16">
        <v>0.29166666666666669</v>
      </c>
      <c r="C11" s="16">
        <v>0.83333333333333337</v>
      </c>
      <c r="D11" s="17">
        <f t="shared" si="0"/>
        <v>22.5</v>
      </c>
      <c r="E11" s="18">
        <v>19</v>
      </c>
      <c r="F11" s="18">
        <v>26</v>
      </c>
      <c r="G11" s="18" t="s">
        <v>37</v>
      </c>
      <c r="H11" s="18" t="str">
        <f t="shared" si="1"/>
        <v>43-2</v>
      </c>
      <c r="I11" s="19">
        <v>43</v>
      </c>
      <c r="J11" s="19">
        <v>2</v>
      </c>
      <c r="K11" s="20" t="s">
        <v>20</v>
      </c>
      <c r="L11" s="20" t="s">
        <v>64</v>
      </c>
      <c r="M11" s="19" t="s">
        <v>38</v>
      </c>
      <c r="N11" s="19" t="s">
        <v>22</v>
      </c>
      <c r="O11" s="21" t="s">
        <v>23</v>
      </c>
      <c r="P11" s="21" t="s">
        <v>24</v>
      </c>
      <c r="Q11" s="20" t="s">
        <v>25</v>
      </c>
      <c r="R11" s="20" t="s">
        <v>26</v>
      </c>
      <c r="S11" s="20" t="s">
        <v>27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spans="1:29" ht="14">
      <c r="A12" s="15" t="s">
        <v>35</v>
      </c>
      <c r="B12" s="16">
        <v>0.29166666666666669</v>
      </c>
      <c r="C12" s="16">
        <v>0.83333333333333337</v>
      </c>
      <c r="D12" s="17">
        <f t="shared" si="0"/>
        <v>22.5</v>
      </c>
      <c r="E12" s="18">
        <v>19</v>
      </c>
      <c r="F12" s="18">
        <v>26</v>
      </c>
      <c r="G12" s="18" t="s">
        <v>19</v>
      </c>
      <c r="H12" s="18" t="str">
        <f t="shared" si="1"/>
        <v>43-3</v>
      </c>
      <c r="I12" s="19">
        <v>43</v>
      </c>
      <c r="J12" s="19">
        <v>3</v>
      </c>
      <c r="K12" s="20" t="s">
        <v>20</v>
      </c>
      <c r="L12" s="20" t="s">
        <v>64</v>
      </c>
      <c r="M12" s="19" t="s">
        <v>39</v>
      </c>
      <c r="N12" s="19" t="s">
        <v>22</v>
      </c>
      <c r="O12" s="21" t="s">
        <v>23</v>
      </c>
      <c r="P12" s="21" t="s">
        <v>24</v>
      </c>
      <c r="Q12" s="20" t="s">
        <v>25</v>
      </c>
      <c r="R12" s="20" t="s">
        <v>26</v>
      </c>
      <c r="S12" s="20" t="s">
        <v>27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29" ht="14">
      <c r="A13" s="15" t="s">
        <v>35</v>
      </c>
      <c r="B13" s="16">
        <v>0.29166666666666669</v>
      </c>
      <c r="C13" s="16">
        <v>0.83333333333333337</v>
      </c>
      <c r="D13" s="17">
        <f t="shared" si="0"/>
        <v>23</v>
      </c>
      <c r="E13" s="18">
        <v>20</v>
      </c>
      <c r="F13" s="18">
        <v>26</v>
      </c>
      <c r="G13" s="18" t="s">
        <v>37</v>
      </c>
      <c r="H13" s="18" t="str">
        <f t="shared" si="1"/>
        <v>43-4</v>
      </c>
      <c r="I13" s="19">
        <v>43</v>
      </c>
      <c r="J13" s="19">
        <v>4</v>
      </c>
      <c r="K13" s="20" t="s">
        <v>20</v>
      </c>
      <c r="L13" s="20" t="s">
        <v>64</v>
      </c>
      <c r="M13" s="19" t="s">
        <v>40</v>
      </c>
      <c r="N13" s="19" t="s">
        <v>22</v>
      </c>
      <c r="O13" s="21" t="s">
        <v>23</v>
      </c>
      <c r="P13" s="21" t="s">
        <v>24</v>
      </c>
      <c r="Q13" s="20" t="s">
        <v>25</v>
      </c>
      <c r="R13" s="20" t="s">
        <v>26</v>
      </c>
      <c r="S13" s="20" t="s">
        <v>27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29" ht="14">
      <c r="A14" s="15" t="s">
        <v>35</v>
      </c>
      <c r="B14" s="16">
        <v>0.29166666666666669</v>
      </c>
      <c r="C14" s="16">
        <v>0.83333333333333337</v>
      </c>
      <c r="D14" s="17">
        <f t="shared" si="0"/>
        <v>23</v>
      </c>
      <c r="E14" s="18">
        <v>20</v>
      </c>
      <c r="F14" s="18">
        <v>26</v>
      </c>
      <c r="G14" s="18" t="s">
        <v>37</v>
      </c>
      <c r="H14" s="18" t="str">
        <f t="shared" si="1"/>
        <v>44-1</v>
      </c>
      <c r="I14" s="19">
        <v>44</v>
      </c>
      <c r="J14" s="19">
        <v>1</v>
      </c>
      <c r="K14" s="20" t="s">
        <v>20</v>
      </c>
      <c r="L14" s="20" t="s">
        <v>64</v>
      </c>
      <c r="M14" s="19" t="s">
        <v>41</v>
      </c>
      <c r="N14" s="19" t="s">
        <v>22</v>
      </c>
      <c r="O14" s="21" t="s">
        <v>23</v>
      </c>
      <c r="P14" s="21" t="s">
        <v>24</v>
      </c>
      <c r="Q14" s="20" t="s">
        <v>25</v>
      </c>
      <c r="R14" s="20" t="s">
        <v>26</v>
      </c>
      <c r="S14" s="20" t="s">
        <v>27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29" ht="14">
      <c r="A15" s="15" t="s">
        <v>35</v>
      </c>
      <c r="B15" s="16">
        <v>0.29166666666666669</v>
      </c>
      <c r="C15" s="16">
        <v>0.83333333333333337</v>
      </c>
      <c r="D15" s="17">
        <f t="shared" si="0"/>
        <v>23</v>
      </c>
      <c r="E15" s="18">
        <v>20</v>
      </c>
      <c r="F15" s="18">
        <v>26</v>
      </c>
      <c r="G15" s="18" t="s">
        <v>37</v>
      </c>
      <c r="H15" s="18" t="str">
        <f t="shared" si="1"/>
        <v>44-3</v>
      </c>
      <c r="I15" s="19">
        <v>44</v>
      </c>
      <c r="J15" s="19">
        <v>3</v>
      </c>
      <c r="K15" s="20" t="s">
        <v>20</v>
      </c>
      <c r="L15" s="20" t="s">
        <v>64</v>
      </c>
      <c r="M15" s="19" t="s">
        <v>42</v>
      </c>
      <c r="N15" s="19" t="s">
        <v>22</v>
      </c>
      <c r="O15" s="21" t="s">
        <v>23</v>
      </c>
      <c r="P15" s="21" t="s">
        <v>24</v>
      </c>
      <c r="Q15" s="20" t="s">
        <v>25</v>
      </c>
      <c r="R15" s="20" t="s">
        <v>26</v>
      </c>
      <c r="S15" s="20" t="s">
        <v>27</v>
      </c>
      <c r="T15" s="22"/>
      <c r="U15" s="22"/>
      <c r="V15" s="22"/>
      <c r="W15" s="22"/>
      <c r="X15" s="22"/>
      <c r="Y15" s="22"/>
      <c r="Z15" s="21"/>
      <c r="AA15" s="21"/>
      <c r="AB15" s="21"/>
      <c r="AC15" s="21"/>
    </row>
    <row r="16" spans="1:29" ht="14">
      <c r="A16" s="23" t="s">
        <v>43</v>
      </c>
      <c r="B16" s="24">
        <v>0.3125</v>
      </c>
      <c r="C16" s="24">
        <v>0.83333333333333337</v>
      </c>
      <c r="D16" s="25">
        <f t="shared" si="0"/>
        <v>23.5</v>
      </c>
      <c r="E16" s="26">
        <v>20</v>
      </c>
      <c r="F16" s="26">
        <v>27</v>
      </c>
      <c r="G16" s="26" t="s">
        <v>19</v>
      </c>
      <c r="H16" s="26" t="str">
        <f t="shared" si="1"/>
        <v>49-9</v>
      </c>
      <c r="I16" s="27">
        <v>49</v>
      </c>
      <c r="J16" s="27">
        <v>9</v>
      </c>
      <c r="K16" s="28" t="s">
        <v>20</v>
      </c>
      <c r="L16" s="28" t="s">
        <v>64</v>
      </c>
      <c r="M16" s="27" t="s">
        <v>44</v>
      </c>
      <c r="N16" s="27" t="s">
        <v>22</v>
      </c>
      <c r="O16" s="29" t="s">
        <v>23</v>
      </c>
      <c r="P16" s="29" t="s">
        <v>24</v>
      </c>
      <c r="Q16" s="28" t="s">
        <v>25</v>
      </c>
      <c r="R16" s="28" t="s">
        <v>26</v>
      </c>
      <c r="S16" s="28" t="s">
        <v>27</v>
      </c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spans="1:29" ht="14">
      <c r="A17" s="23" t="s">
        <v>43</v>
      </c>
      <c r="B17" s="24">
        <v>0.3125</v>
      </c>
      <c r="C17" s="24">
        <v>0.83333333333333337</v>
      </c>
      <c r="D17" s="25">
        <f t="shared" si="0"/>
        <v>23</v>
      </c>
      <c r="E17" s="26">
        <v>20</v>
      </c>
      <c r="F17" s="26">
        <v>26</v>
      </c>
      <c r="G17" s="26" t="s">
        <v>19</v>
      </c>
      <c r="H17" s="62" t="s">
        <v>63</v>
      </c>
      <c r="I17" s="31" t="s">
        <v>45</v>
      </c>
      <c r="J17" s="31" t="s">
        <v>45</v>
      </c>
      <c r="K17" s="28" t="s">
        <v>20</v>
      </c>
      <c r="L17" s="28" t="s">
        <v>64</v>
      </c>
      <c r="M17" s="27" t="s">
        <v>46</v>
      </c>
      <c r="N17" s="27" t="s">
        <v>22</v>
      </c>
      <c r="O17" s="29" t="s">
        <v>23</v>
      </c>
      <c r="P17" s="28" t="s">
        <v>24</v>
      </c>
      <c r="Q17" s="28" t="s">
        <v>25</v>
      </c>
      <c r="R17" s="28" t="s">
        <v>26</v>
      </c>
      <c r="S17" s="28" t="s">
        <v>27</v>
      </c>
      <c r="T17" s="30"/>
      <c r="U17" s="30"/>
      <c r="V17" s="30"/>
      <c r="W17" s="30"/>
      <c r="X17" s="30"/>
      <c r="Y17" s="30"/>
      <c r="Z17" s="29"/>
      <c r="AA17" s="29"/>
      <c r="AB17" s="29"/>
      <c r="AC17" s="29"/>
    </row>
    <row r="18" spans="1:29" ht="14">
      <c r="A18" s="32" t="s">
        <v>47</v>
      </c>
      <c r="B18" s="33">
        <v>0.27083333333333331</v>
      </c>
      <c r="C18" s="33">
        <v>0.83333333333333337</v>
      </c>
      <c r="D18" s="34">
        <f t="shared" si="0"/>
        <v>24</v>
      </c>
      <c r="E18" s="35">
        <v>22</v>
      </c>
      <c r="F18" s="35">
        <v>26</v>
      </c>
      <c r="G18" s="35" t="s">
        <v>19</v>
      </c>
      <c r="H18" s="35" t="str">
        <f t="shared" si="1"/>
        <v>44-2</v>
      </c>
      <c r="I18" s="36">
        <v>44</v>
      </c>
      <c r="J18" s="36">
        <v>2</v>
      </c>
      <c r="K18" s="37" t="s">
        <v>20</v>
      </c>
      <c r="L18" s="37" t="s">
        <v>64</v>
      </c>
      <c r="M18" s="36" t="s">
        <v>48</v>
      </c>
      <c r="N18" s="36" t="s">
        <v>22</v>
      </c>
      <c r="O18" s="38" t="s">
        <v>23</v>
      </c>
      <c r="P18" s="38" t="s">
        <v>24</v>
      </c>
      <c r="Q18" s="37" t="s">
        <v>25</v>
      </c>
      <c r="R18" s="37" t="s">
        <v>26</v>
      </c>
      <c r="S18" s="37" t="s">
        <v>27</v>
      </c>
      <c r="T18" s="39"/>
      <c r="U18" s="39"/>
      <c r="V18" s="39"/>
      <c r="W18" s="39"/>
      <c r="X18" s="39"/>
      <c r="Y18" s="39"/>
      <c r="Z18" s="38"/>
      <c r="AA18" s="38"/>
      <c r="AB18" s="38"/>
      <c r="AC18" s="38"/>
    </row>
    <row r="19" spans="1:29" ht="14">
      <c r="A19" s="32" t="s">
        <v>47</v>
      </c>
      <c r="B19" s="33">
        <v>0.27083333333333331</v>
      </c>
      <c r="C19" s="33">
        <v>0.83333333333333337</v>
      </c>
      <c r="D19" s="34">
        <f t="shared" si="0"/>
        <v>24</v>
      </c>
      <c r="E19" s="35">
        <v>22</v>
      </c>
      <c r="F19" s="35">
        <v>26</v>
      </c>
      <c r="G19" s="35" t="s">
        <v>19</v>
      </c>
      <c r="H19" s="35" t="str">
        <f t="shared" si="1"/>
        <v>44-4</v>
      </c>
      <c r="I19" s="36">
        <v>44</v>
      </c>
      <c r="J19" s="36">
        <v>4</v>
      </c>
      <c r="K19" s="37" t="s">
        <v>20</v>
      </c>
      <c r="L19" s="37" t="s">
        <v>64</v>
      </c>
      <c r="M19" s="36" t="s">
        <v>49</v>
      </c>
      <c r="N19" s="36" t="s">
        <v>22</v>
      </c>
      <c r="O19" s="38" t="s">
        <v>23</v>
      </c>
      <c r="P19" s="38" t="s">
        <v>24</v>
      </c>
      <c r="Q19" s="37" t="s">
        <v>25</v>
      </c>
      <c r="R19" s="37" t="s">
        <v>26</v>
      </c>
      <c r="S19" s="37" t="s">
        <v>27</v>
      </c>
      <c r="T19" s="39"/>
      <c r="U19" s="39"/>
      <c r="V19" s="39"/>
      <c r="W19" s="39"/>
      <c r="X19" s="39"/>
      <c r="Y19" s="39"/>
      <c r="Z19" s="38"/>
      <c r="AA19" s="38"/>
      <c r="AB19" s="38"/>
      <c r="AC19" s="38"/>
    </row>
    <row r="20" spans="1:29" ht="14">
      <c r="A20" s="32" t="s">
        <v>47</v>
      </c>
      <c r="B20" s="33">
        <v>0.27083333333333331</v>
      </c>
      <c r="C20" s="33">
        <v>0.83333333333333337</v>
      </c>
      <c r="D20" s="34">
        <f t="shared" si="0"/>
        <v>24.5</v>
      </c>
      <c r="E20" s="35">
        <v>23</v>
      </c>
      <c r="F20" s="35">
        <v>26</v>
      </c>
      <c r="G20" s="35" t="s">
        <v>19</v>
      </c>
      <c r="H20" s="35" t="str">
        <f t="shared" si="1"/>
        <v>44-4</v>
      </c>
      <c r="I20" s="36">
        <v>44</v>
      </c>
      <c r="J20" s="36">
        <v>4</v>
      </c>
      <c r="K20" s="37" t="s">
        <v>20</v>
      </c>
      <c r="L20" s="37" t="s">
        <v>64</v>
      </c>
      <c r="M20" s="36" t="s">
        <v>50</v>
      </c>
      <c r="N20" s="36" t="s">
        <v>22</v>
      </c>
      <c r="O20" s="38" t="s">
        <v>23</v>
      </c>
      <c r="P20" s="38" t="s">
        <v>24</v>
      </c>
      <c r="Q20" s="37" t="s">
        <v>25</v>
      </c>
      <c r="R20" s="37" t="s">
        <v>26</v>
      </c>
      <c r="S20" s="37" t="s">
        <v>27</v>
      </c>
      <c r="T20" s="39"/>
      <c r="U20" s="39"/>
      <c r="V20" s="39"/>
      <c r="W20" s="39"/>
      <c r="X20" s="39"/>
      <c r="Y20" s="39"/>
      <c r="Z20" s="38"/>
      <c r="AA20" s="38"/>
      <c r="AB20" s="38"/>
      <c r="AC20" s="38"/>
    </row>
    <row r="21" spans="1:29" ht="14">
      <c r="A21" s="40" t="s">
        <v>51</v>
      </c>
      <c r="B21" s="41" t="s">
        <v>52</v>
      </c>
      <c r="C21" s="41" t="s">
        <v>52</v>
      </c>
      <c r="D21" s="42">
        <f t="shared" si="0"/>
        <v>23.5</v>
      </c>
      <c r="E21" s="43">
        <v>21</v>
      </c>
      <c r="F21" s="43">
        <v>26</v>
      </c>
      <c r="G21" s="43" t="s">
        <v>19</v>
      </c>
      <c r="H21" s="43" t="str">
        <f t="shared" si="1"/>
        <v>44-8</v>
      </c>
      <c r="I21" s="44">
        <v>44</v>
      </c>
      <c r="J21" s="44">
        <v>8</v>
      </c>
      <c r="K21" s="45" t="s">
        <v>20</v>
      </c>
      <c r="L21" s="45" t="s">
        <v>64</v>
      </c>
      <c r="M21" s="44" t="s">
        <v>53</v>
      </c>
      <c r="N21" s="44" t="s">
        <v>22</v>
      </c>
      <c r="O21" s="46" t="s">
        <v>23</v>
      </c>
      <c r="P21" s="46" t="s">
        <v>24</v>
      </c>
      <c r="Q21" s="45" t="s">
        <v>25</v>
      </c>
      <c r="R21" s="45" t="s">
        <v>26</v>
      </c>
      <c r="S21" s="45" t="s">
        <v>27</v>
      </c>
      <c r="T21" s="46"/>
      <c r="U21" s="46"/>
      <c r="V21" s="46"/>
      <c r="W21" s="46"/>
      <c r="X21" s="46"/>
      <c r="Y21" s="46"/>
      <c r="Z21" s="46"/>
      <c r="AA21" s="46"/>
      <c r="AB21" s="46"/>
      <c r="AC21" s="46"/>
    </row>
    <row r="22" spans="1:29" ht="14">
      <c r="A22" s="40" t="s">
        <v>51</v>
      </c>
      <c r="B22" s="41" t="s">
        <v>52</v>
      </c>
      <c r="C22" s="41" t="s">
        <v>52</v>
      </c>
      <c r="D22" s="42">
        <f t="shared" si="0"/>
        <v>23</v>
      </c>
      <c r="E22" s="43">
        <v>20</v>
      </c>
      <c r="F22" s="43">
        <v>26</v>
      </c>
      <c r="G22" s="43" t="s">
        <v>19</v>
      </c>
      <c r="H22" s="43" t="str">
        <f t="shared" si="1"/>
        <v>44-8</v>
      </c>
      <c r="I22" s="44">
        <v>44</v>
      </c>
      <c r="J22" s="44">
        <v>8</v>
      </c>
      <c r="K22" s="45" t="s">
        <v>20</v>
      </c>
      <c r="L22" s="45" t="s">
        <v>64</v>
      </c>
      <c r="M22" s="44" t="s">
        <v>54</v>
      </c>
      <c r="N22" s="44" t="s">
        <v>22</v>
      </c>
      <c r="O22" s="46" t="s">
        <v>23</v>
      </c>
      <c r="P22" s="46" t="s">
        <v>24</v>
      </c>
      <c r="Q22" s="45" t="s">
        <v>25</v>
      </c>
      <c r="R22" s="45" t="s">
        <v>26</v>
      </c>
      <c r="S22" s="45" t="s">
        <v>27</v>
      </c>
      <c r="T22" s="46"/>
      <c r="U22" s="46"/>
      <c r="V22" s="46"/>
      <c r="W22" s="46"/>
      <c r="X22" s="46"/>
      <c r="Y22" s="46"/>
      <c r="Z22" s="46"/>
      <c r="AA22" s="46"/>
      <c r="AB22" s="46"/>
      <c r="AC22" s="46"/>
    </row>
    <row r="23" spans="1:29" ht="14">
      <c r="A23" s="47" t="s">
        <v>55</v>
      </c>
      <c r="B23" s="48" t="s">
        <v>52</v>
      </c>
      <c r="C23" s="48" t="s">
        <v>52</v>
      </c>
      <c r="D23" s="49">
        <f t="shared" si="0"/>
        <v>22.5</v>
      </c>
      <c r="E23" s="50">
        <v>19</v>
      </c>
      <c r="F23" s="50">
        <v>26</v>
      </c>
      <c r="G23" s="50" t="s">
        <v>56</v>
      </c>
      <c r="H23" s="50" t="str">
        <f t="shared" si="1"/>
        <v>44-6</v>
      </c>
      <c r="I23" s="51">
        <v>44</v>
      </c>
      <c r="J23" s="51">
        <v>6</v>
      </c>
      <c r="K23" s="52" t="s">
        <v>20</v>
      </c>
      <c r="L23" s="52" t="s">
        <v>64</v>
      </c>
      <c r="M23" s="51" t="s">
        <v>57</v>
      </c>
      <c r="N23" s="51" t="s">
        <v>22</v>
      </c>
      <c r="O23" s="53" t="s">
        <v>23</v>
      </c>
      <c r="P23" s="53" t="s">
        <v>24</v>
      </c>
      <c r="Q23" s="52" t="s">
        <v>25</v>
      </c>
      <c r="R23" s="52" t="s">
        <v>26</v>
      </c>
      <c r="S23" s="52" t="s">
        <v>27</v>
      </c>
      <c r="T23" s="53"/>
      <c r="U23" s="53"/>
      <c r="V23" s="53"/>
      <c r="W23" s="53"/>
      <c r="X23" s="53"/>
      <c r="Y23" s="53"/>
      <c r="Z23" s="53"/>
      <c r="AA23" s="53"/>
      <c r="AB23" s="53"/>
      <c r="AC23" s="53"/>
    </row>
    <row r="24" spans="1:29" ht="14">
      <c r="A24" s="47" t="s">
        <v>55</v>
      </c>
      <c r="B24" s="48" t="s">
        <v>52</v>
      </c>
      <c r="C24" s="48" t="s">
        <v>52</v>
      </c>
      <c r="D24" s="49">
        <f t="shared" si="0"/>
        <v>22.5</v>
      </c>
      <c r="E24" s="50">
        <v>19</v>
      </c>
      <c r="F24" s="50">
        <v>26</v>
      </c>
      <c r="G24" s="50" t="s">
        <v>56</v>
      </c>
      <c r="H24" s="50" t="str">
        <f t="shared" si="1"/>
        <v>44-6</v>
      </c>
      <c r="I24" s="51">
        <v>44</v>
      </c>
      <c r="J24" s="51">
        <v>6</v>
      </c>
      <c r="K24" s="52" t="s">
        <v>20</v>
      </c>
      <c r="L24" s="52" t="s">
        <v>64</v>
      </c>
      <c r="M24" s="51" t="s">
        <v>58</v>
      </c>
      <c r="N24" s="51" t="s">
        <v>22</v>
      </c>
      <c r="O24" s="53" t="s">
        <v>23</v>
      </c>
      <c r="P24" s="53" t="s">
        <v>24</v>
      </c>
      <c r="Q24" s="52" t="s">
        <v>25</v>
      </c>
      <c r="R24" s="52" t="s">
        <v>26</v>
      </c>
      <c r="S24" s="52" t="s">
        <v>27</v>
      </c>
      <c r="T24" s="53"/>
      <c r="U24" s="53"/>
      <c r="V24" s="53"/>
      <c r="W24" s="53"/>
      <c r="X24" s="53"/>
      <c r="Y24" s="53"/>
      <c r="Z24" s="53"/>
      <c r="AA24" s="53"/>
      <c r="AB24" s="53"/>
      <c r="AC24" s="53"/>
    </row>
    <row r="25" spans="1:29" ht="13">
      <c r="A25" s="54"/>
      <c r="B25" s="54"/>
      <c r="C25" s="54"/>
      <c r="D25" s="55">
        <f t="shared" si="0"/>
        <v>21</v>
      </c>
      <c r="E25" s="56">
        <v>16</v>
      </c>
      <c r="F25" s="56">
        <v>26</v>
      </c>
      <c r="G25" s="56" t="s">
        <v>19</v>
      </c>
      <c r="H25" s="56"/>
      <c r="I25" s="56">
        <v>41</v>
      </c>
      <c r="J25" s="56">
        <v>1</v>
      </c>
      <c r="K25" s="57" t="s">
        <v>20</v>
      </c>
      <c r="L25" s="57" t="s">
        <v>64</v>
      </c>
      <c r="M25" s="56" t="s">
        <v>59</v>
      </c>
      <c r="N25" s="56" t="s">
        <v>22</v>
      </c>
      <c r="O25" s="54" t="s">
        <v>23</v>
      </c>
      <c r="P25" s="57" t="s">
        <v>24</v>
      </c>
      <c r="Q25" s="57" t="s">
        <v>25</v>
      </c>
      <c r="R25" s="57" t="s">
        <v>26</v>
      </c>
      <c r="S25" s="57" t="s">
        <v>27</v>
      </c>
      <c r="T25" s="54"/>
      <c r="U25" s="54"/>
      <c r="V25" s="54"/>
      <c r="W25" s="54"/>
      <c r="X25" s="54"/>
      <c r="Y25" s="54"/>
      <c r="Z25" s="54"/>
      <c r="AA25" s="54"/>
      <c r="AB25" s="54"/>
      <c r="AC25" s="54"/>
    </row>
    <row r="26" spans="1:29" ht="13">
      <c r="A26" s="54"/>
      <c r="B26" s="54"/>
      <c r="C26" s="54"/>
      <c r="D26" s="55">
        <f t="shared" si="0"/>
        <v>22.5</v>
      </c>
      <c r="E26" s="56">
        <v>20</v>
      </c>
      <c r="F26" s="56">
        <v>25</v>
      </c>
      <c r="G26" s="56" t="s">
        <v>19</v>
      </c>
      <c r="H26" s="56"/>
      <c r="I26" s="56">
        <v>44</v>
      </c>
      <c r="J26" s="56">
        <v>5</v>
      </c>
      <c r="K26" s="57" t="s">
        <v>20</v>
      </c>
      <c r="L26" s="57" t="s">
        <v>64</v>
      </c>
      <c r="M26" s="56" t="s">
        <v>60</v>
      </c>
      <c r="N26" s="56" t="s">
        <v>22</v>
      </c>
      <c r="O26" s="54" t="s">
        <v>23</v>
      </c>
      <c r="P26" s="54" t="s">
        <v>24</v>
      </c>
      <c r="Q26" s="57" t="s">
        <v>25</v>
      </c>
      <c r="R26" s="57" t="s">
        <v>26</v>
      </c>
      <c r="S26" s="57" t="s">
        <v>27</v>
      </c>
      <c r="T26" s="58"/>
      <c r="U26" s="58"/>
      <c r="V26" s="58"/>
      <c r="W26" s="58"/>
      <c r="X26" s="58"/>
      <c r="Y26" s="58"/>
      <c r="Z26" s="54"/>
      <c r="AA26" s="54"/>
      <c r="AB26" s="54"/>
      <c r="AC26" s="54"/>
    </row>
    <row r="27" spans="1:29" ht="13">
      <c r="A27" s="54"/>
      <c r="B27" s="54"/>
      <c r="C27" s="54"/>
      <c r="D27" s="55">
        <f t="shared" si="0"/>
        <v>22.5</v>
      </c>
      <c r="E27" s="56">
        <v>21</v>
      </c>
      <c r="F27" s="56">
        <v>24</v>
      </c>
      <c r="G27" s="56" t="s">
        <v>37</v>
      </c>
      <c r="H27" s="56"/>
      <c r="I27" s="56">
        <v>44</v>
      </c>
      <c r="J27" s="56">
        <v>7</v>
      </c>
      <c r="K27" s="57" t="s">
        <v>20</v>
      </c>
      <c r="L27" s="57" t="s">
        <v>64</v>
      </c>
      <c r="M27" s="56" t="s">
        <v>61</v>
      </c>
      <c r="N27" s="56" t="s">
        <v>22</v>
      </c>
      <c r="O27" s="54" t="s">
        <v>23</v>
      </c>
      <c r="P27" s="54" t="s">
        <v>24</v>
      </c>
      <c r="Q27" s="57" t="s">
        <v>25</v>
      </c>
      <c r="R27" s="57" t="s">
        <v>26</v>
      </c>
      <c r="S27" s="57" t="s">
        <v>27</v>
      </c>
      <c r="T27" s="58"/>
      <c r="U27" s="58"/>
      <c r="V27" s="58"/>
      <c r="W27" s="58"/>
      <c r="X27" s="58"/>
      <c r="Y27" s="58"/>
      <c r="Z27" s="54"/>
      <c r="AA27" s="54"/>
      <c r="AB27" s="54"/>
      <c r="AC27" s="54"/>
    </row>
    <row r="28" spans="1:29" ht="15.7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0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</row>
    <row r="29" spans="1:29" ht="15.7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60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</row>
    <row r="30" spans="1:29" ht="15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60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</row>
    <row r="31" spans="1:29" ht="15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60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</row>
    <row r="32" spans="1:29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60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</row>
    <row r="33" spans="1:29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60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</row>
    <row r="34" spans="1:29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60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</row>
    <row r="35" spans="1:29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61"/>
      <c r="P35" s="59"/>
      <c r="Q35" s="59"/>
      <c r="R35" s="60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</row>
    <row r="36" spans="1:29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60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</row>
    <row r="37" spans="1:29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60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</row>
    <row r="38" spans="1:29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60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</row>
    <row r="39" spans="1:29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60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</row>
    <row r="40" spans="1:29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60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</row>
    <row r="41" spans="1:29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60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</row>
    <row r="42" spans="1:29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60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</row>
    <row r="43" spans="1:29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60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</row>
    <row r="44" spans="1:29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60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</row>
    <row r="45" spans="1:29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60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</row>
    <row r="46" spans="1:29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60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</row>
    <row r="47" spans="1:29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60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</row>
    <row r="48" spans="1:29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60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</row>
    <row r="49" spans="1:2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60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</row>
    <row r="50" spans="1:29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60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</row>
    <row r="51" spans="1:29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60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</row>
    <row r="52" spans="1:29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60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</row>
    <row r="53" spans="1:29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60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</row>
    <row r="54" spans="1:29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60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</row>
    <row r="55" spans="1:29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60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</row>
    <row r="56" spans="1:29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60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</row>
    <row r="57" spans="1:29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60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</row>
    <row r="58" spans="1:29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60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</row>
    <row r="59" spans="1:2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60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</row>
    <row r="60" spans="1:29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60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</row>
    <row r="61" spans="1:29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60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</row>
    <row r="62" spans="1:29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60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</row>
    <row r="63" spans="1:29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60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</row>
    <row r="64" spans="1:29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60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</row>
    <row r="65" spans="1:29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60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</row>
    <row r="66" spans="1:29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60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</row>
    <row r="67" spans="1:29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60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</row>
    <row r="68" spans="1:29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60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</row>
    <row r="69" spans="1:2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60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</row>
    <row r="70" spans="1:29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60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</row>
  </sheetData>
  <phoneticPr fontId="10"/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MASTER</vt:lpstr>
      <vt:lpstr>制御マスタ_エリア1</vt:lpstr>
      <vt:lpstr>制御マスタ</vt:lpstr>
      <vt:lpstr>設備マスタ</vt:lpstr>
      <vt:lpstr>パラメータ</vt:lpstr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Bumjoon Kim</cp:lastModifiedBy>
  <dcterms:modified xsi:type="dcterms:W3CDTF">2025-10-15T07:54:43Z</dcterms:modified>
</cp:coreProperties>
</file>